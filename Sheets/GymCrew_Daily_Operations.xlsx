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cap" sheetId="1" state="visible" r:id="rId1"/>
    <sheet xmlns:r="http://schemas.openxmlformats.org/officeDocument/2006/relationships" name="Daily Focus" sheetId="2" state="visible" r:id="rId2"/>
    <sheet xmlns:r="http://schemas.openxmlformats.org/officeDocument/2006/relationships" name="Social Content Plan" sheetId="3" state="visible" r:id="rId3"/>
    <sheet xmlns:r="http://schemas.openxmlformats.org/officeDocument/2006/relationships" name="Discord Daily Plan" sheetId="4" state="visible" r:id="rId4"/>
  </sheets>
  <definedNames>
    <definedName name="_xlnm._FilterDatabase" localSheetId="0" hidden="1">'Daily Recap'!$A$7:$J$107</definedName>
    <definedName name="_xlnm._FilterDatabase" localSheetId="1" hidden="1">'Daily Focus'!$A$5:$I$36</definedName>
    <definedName name="_xlnm._FilterDatabase" localSheetId="2" hidden="1">'Social Content Plan'!$A$5:$K$67</definedName>
    <definedName name="_xlnm._FilterDatabase" localSheetId="3" hidden="1">'Discord Daily Plan'!$A$6:$J$106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8707D"/>
      <sz val="10"/>
    </font>
    <font>
      <b val="1"/>
      <color rgb="00111318"/>
      <sz val="10"/>
    </font>
    <font>
      <b val="1"/>
      <color rgb="00111318"/>
      <sz val="20"/>
    </font>
    <font>
      <b val="1"/>
      <color rgb="00FFFFFF"/>
    </font>
    <font>
      <b val="1"/>
      <color rgb="00111318"/>
      <sz val="14"/>
    </font>
    <font>
      <b val="1"/>
      <color rgb="00111318"/>
    </font>
    <font>
      <i val="1"/>
      <color rgb="0068707D"/>
    </font>
  </fonts>
  <fills count="4">
    <fill>
      <patternFill/>
    </fill>
    <fill>
      <patternFill patternType="gray125"/>
    </fill>
    <fill>
      <patternFill patternType="solid">
        <fgColor rgb="00111318"/>
      </patternFill>
    </fill>
    <fill>
      <patternFill patternType="solid">
        <fgColor rgb="00D9FF00"/>
      </patternFill>
    </fill>
  </fills>
  <borders count="5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  <border>
      <left/>
      <right/>
      <top style="thin">
        <color rgb="00DDE1E7"/>
      </top>
      <bottom/>
      <diagonal/>
    </border>
    <border>
      <left/>
      <right style="thin">
        <color rgb="00DDE1E7"/>
      </right>
      <top style="thin">
        <color rgb="00DDE1E7"/>
      </top>
      <bottom/>
      <diagonal/>
    </border>
    <border>
      <left/>
      <right style="thin">
        <color rgb="00DDE1E7"/>
      </right>
      <top style="thin">
        <color rgb="00DDE1E7"/>
      </top>
      <bottom style="thin">
        <color rgb="00DDE1E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0" fillId="0" borderId="4" pivotButton="0" quotePrefix="0" xfId="0"/>
    <xf numFmtId="164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AF8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ilyRecapTable" displayName="DailyRecapTable" ref="A7:J107" headerRowCount="1">
  <autoFilter ref="A7:J107"/>
  <tableColumns count="10">
    <tableColumn id="1" name="Date"/>
    <tableColumn id="2" name="Person"/>
    <tableColumn id="3" name="Focus / Area"/>
    <tableColumn id="4" name="Task / Work Completed"/>
    <tableColumn id="5" name="Status"/>
    <tableColumn id="6" name="Hours"/>
    <tableColumn id="7" name="Notes"/>
    <tableColumn id="8" name="Next Step"/>
    <tableColumn id="9" name="Signup Date"/>
    <tableColumn id="10" name="New Person 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FocusTable" displayName="DailyFocusTable" ref="A5:I36" headerRowCount="1">
  <autoFilter ref="A5:I36"/>
  <tableColumns count="9">
    <tableColumn id="1" name="Date"/>
    <tableColumn id="2" name="Day"/>
    <tableColumn id="3" name="Main Focus"/>
    <tableColumn id="4" name="Primary Goal"/>
    <tableColumn id="5" name="Top 3 Priorities"/>
    <tableColumn id="6" name="Owner"/>
    <tableColumn id="7" name="Success Metric"/>
    <tableColumn id="8" name="Notes"/>
    <tableColumn id="9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cialPlanTable" displayName="SocialPlanTable" ref="A5:K67" headerRowCount="1">
  <autoFilter ref="A5:K67"/>
  <tableColumns count="11">
    <tableColumn id="1" name="Date"/>
    <tableColumn id="2" name="Day"/>
    <tableColumn id="3" name="Platform"/>
    <tableColumn id="4" name="Content Type"/>
    <tableColumn id="5" name="Post / Hook"/>
    <tableColumn id="6" name="Goal"/>
    <tableColumn id="7" name="CTA"/>
    <tableColumn id="8" name="Owner"/>
    <tableColumn id="9" name="Status"/>
    <tableColumn id="10" name="Post Time"/>
    <tableColumn id="11" name="Link / Ass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scordDailyPlanTable" displayName="DiscordDailyPlanTable" ref="A6:J106" headerRowCount="1">
  <autoFilter ref="A6:J106"/>
  <tableColumns count="10">
    <tableColumn id="1" name="Date"/>
    <tableColumn id="2" name="Day"/>
    <tableColumn id="3" name="Time"/>
    <tableColumn id="4" name="Channel"/>
    <tableColumn id="5" name="Content Type"/>
    <tableColumn id="6" name="What to Post"/>
    <tableColumn id="7" name="Goal"/>
    <tableColumn id="8" name="Owner"/>
    <tableColumn id="9" name="Status"/>
    <tableColumn id="10" name="Link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36" customWidth="1" min="4" max="4"/>
    <col width="18" customWidth="1" min="5" max="5"/>
    <col width="10" customWidth="1" min="6" max="6"/>
    <col width="32" customWidth="1" min="7" max="7"/>
    <col width="32" customWidth="1" min="8" max="8"/>
    <col width="14" customWidth="1" min="9" max="9"/>
    <col width="34" customWidth="1" min="10" max="10"/>
  </cols>
  <sheetData>
    <row r="1" ht="38" customHeight="1">
      <c r="A1" s="1" t="inlineStr">
        <is>
          <t>GYMCREW — DAILY RECAP</t>
        </is>
      </c>
    </row>
    <row r="2" ht="24" customHeight="1">
      <c r="A2" s="2" t="inlineStr">
        <is>
          <t>Log what Jaimy &amp; Berkan worked on, plus every new person who joined with their email.</t>
        </is>
      </c>
    </row>
    <row r="4">
      <c r="A4" s="3" t="inlineStr">
        <is>
          <t>TOTAL NEW PEOPLE</t>
        </is>
      </c>
      <c r="B4" s="13" t="n"/>
      <c r="C4" s="3" t="inlineStr">
        <is>
          <t>TODAY'S PEOPLE</t>
        </is>
      </c>
      <c r="D4" s="13" t="n"/>
      <c r="E4" s="3" t="inlineStr">
        <is>
          <t>JAIMY TASKS</t>
        </is>
      </c>
      <c r="F4" s="13" t="n"/>
      <c r="G4" s="3" t="inlineStr">
        <is>
          <t>BERKAN TASKS</t>
        </is>
      </c>
      <c r="H4" s="13" t="n"/>
    </row>
    <row r="5">
      <c r="A5" s="5">
        <f>COUNTA(J8:J107)</f>
        <v/>
      </c>
      <c r="B5" s="13" t="n"/>
      <c r="C5" s="5">
        <f>COUNTIF(I8:I107,TODAY())</f>
        <v/>
      </c>
      <c r="D5" s="13" t="n"/>
      <c r="E5" s="5">
        <f>COUNTIFS(B8:B107,"Jaimy",D8:D107,"Done")</f>
        <v/>
      </c>
      <c r="F5" s="13" t="n"/>
      <c r="G5" s="5">
        <f>COUNTIFS(B8:B107,"Berkan",D8:D107,"Done")</f>
        <v/>
      </c>
      <c r="H5" s="13" t="n"/>
    </row>
    <row r="7" ht="30" customHeight="1">
      <c r="A7" s="6" t="inlineStr">
        <is>
          <t>Date</t>
        </is>
      </c>
      <c r="B7" s="6" t="inlineStr">
        <is>
          <t>Person</t>
        </is>
      </c>
      <c r="C7" s="6" t="inlineStr">
        <is>
          <t>Focus / Area</t>
        </is>
      </c>
      <c r="D7" s="6" t="inlineStr">
        <is>
          <t>Task / Work Completed</t>
        </is>
      </c>
      <c r="E7" s="6" t="inlineStr">
        <is>
          <t>Status</t>
        </is>
      </c>
      <c r="F7" s="6" t="inlineStr">
        <is>
          <t>Hours</t>
        </is>
      </c>
      <c r="G7" s="6" t="inlineStr">
        <is>
          <t>Notes</t>
        </is>
      </c>
      <c r="H7" s="6" t="inlineStr">
        <is>
          <t>Next Step</t>
        </is>
      </c>
      <c r="I7" s="6" t="inlineStr">
        <is>
          <t>Signup Date</t>
        </is>
      </c>
      <c r="J7" s="6" t="inlineStr">
        <is>
          <t>New Person Email</t>
        </is>
      </c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7" t="n"/>
      <c r="J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7" t="n"/>
      <c r="J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7" t="n"/>
      <c r="J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7" t="n"/>
      <c r="J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7" t="n"/>
      <c r="J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7" t="n"/>
      <c r="J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7" t="n"/>
      <c r="J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7" t="n"/>
      <c r="J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7" t="n"/>
      <c r="J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7" t="n"/>
      <c r="J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7" t="n"/>
      <c r="J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7" t="n"/>
      <c r="J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7" t="n"/>
      <c r="J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7" t="n"/>
      <c r="J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7" t="n"/>
      <c r="J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7" t="n"/>
      <c r="J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7" t="n"/>
      <c r="J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7" t="n"/>
      <c r="J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7" t="n"/>
      <c r="J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7" t="n"/>
      <c r="J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7" t="n"/>
      <c r="J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7" t="n"/>
      <c r="J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7" t="n"/>
      <c r="J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7" t="n"/>
      <c r="J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7" t="n"/>
      <c r="J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7" t="n"/>
      <c r="J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7" t="n"/>
      <c r="J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7" t="n"/>
      <c r="J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7" t="n"/>
      <c r="J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7" t="n"/>
      <c r="J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7" t="n"/>
      <c r="J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7" t="n"/>
      <c r="J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7" t="n"/>
      <c r="J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7" t="n"/>
      <c r="J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7" t="n"/>
      <c r="J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7" t="n"/>
      <c r="J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7" t="n"/>
      <c r="J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7" t="n"/>
      <c r="J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7" t="n"/>
      <c r="J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7" t="n"/>
      <c r="J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7" t="n"/>
      <c r="J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7" t="n"/>
      <c r="J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7" t="n"/>
      <c r="J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7" t="n"/>
      <c r="J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7" t="n"/>
      <c r="J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7" t="n"/>
      <c r="J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7" t="n"/>
      <c r="J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7" t="n"/>
      <c r="J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7" t="n"/>
      <c r="J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7" t="n"/>
      <c r="J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7" t="n"/>
      <c r="J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7" t="n"/>
      <c r="J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7" t="n"/>
      <c r="J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7" t="n"/>
      <c r="J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7" t="n"/>
      <c r="J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7" t="n"/>
      <c r="J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7" t="n"/>
      <c r="J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7" t="n"/>
      <c r="J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7" t="n"/>
      <c r="J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7" t="n"/>
      <c r="J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7" t="n"/>
      <c r="J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7" t="n"/>
      <c r="J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7" t="n"/>
      <c r="J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7" t="n"/>
      <c r="J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7" t="n"/>
      <c r="J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7" t="n"/>
      <c r="J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7" t="n"/>
      <c r="J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7" t="n"/>
      <c r="J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7" t="n"/>
      <c r="J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7" t="n"/>
      <c r="J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7" t="n"/>
      <c r="J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7" t="n"/>
      <c r="J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7" t="n"/>
      <c r="J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7" t="n"/>
      <c r="J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7" t="n"/>
      <c r="J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7" t="n"/>
      <c r="J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7" t="n"/>
      <c r="J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7" t="n"/>
      <c r="J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7" t="n"/>
      <c r="J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7" t="n"/>
      <c r="J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7" t="n"/>
      <c r="J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7" t="n"/>
      <c r="J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7" t="n"/>
      <c r="J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7" t="n"/>
      <c r="J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7" t="n"/>
      <c r="J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7" t="n"/>
      <c r="J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7" t="n"/>
      <c r="J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7" t="n"/>
      <c r="J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7" t="n"/>
      <c r="J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7" t="n"/>
      <c r="J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7" t="n"/>
      <c r="J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7" t="n"/>
      <c r="J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7" t="n"/>
      <c r="J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7" t="n"/>
      <c r="J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  <c r="I102" s="7" t="n"/>
      <c r="J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7" t="n"/>
      <c r="J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7" t="n"/>
      <c r="J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7" t="n"/>
      <c r="J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  <c r="I106" s="7" t="n"/>
      <c r="J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7" t="n"/>
      <c r="J107" s="8" t="n"/>
    </row>
    <row r="109">
      <c r="A109" s="9" t="inlineStr">
        <is>
          <t>TIP</t>
        </is>
      </c>
      <c r="B109" s="10" t="inlineStr">
        <is>
          <t>Gebruik 1 regel per taak. Zet nieuwe mensen met hun e-mail direct in dezelfde rij bij Signup Date + Email.</t>
        </is>
      </c>
    </row>
    <row r="110">
      <c r="I110" s="11" t="inlineStr">
        <is>
          <t>SIGNUP OVERVIEW</t>
        </is>
      </c>
    </row>
    <row r="111">
      <c r="I111" s="12" t="inlineStr">
        <is>
          <t>Email</t>
        </is>
      </c>
      <c r="J111" s="12" t="inlineStr">
        <is>
          <t>Signup Date</t>
        </is>
      </c>
    </row>
    <row r="112">
      <c r="I112" s="4" t="n"/>
      <c r="J112" s="4" t="n"/>
    </row>
    <row r="113">
      <c r="I113" s="4" t="n"/>
      <c r="J113" s="4" t="n"/>
    </row>
    <row r="114">
      <c r="I114" s="4" t="n"/>
      <c r="J114" s="4" t="n"/>
    </row>
    <row r="115">
      <c r="I115" s="4" t="n"/>
      <c r="J115" s="4" t="n"/>
    </row>
    <row r="116">
      <c r="I116" s="4" t="n"/>
      <c r="J116" s="4" t="n"/>
    </row>
    <row r="117">
      <c r="I117" s="4" t="n"/>
      <c r="J117" s="4" t="n"/>
    </row>
    <row r="118">
      <c r="I118" s="4" t="n"/>
      <c r="J118" s="4" t="n"/>
    </row>
    <row r="119">
      <c r="I119" s="4" t="n"/>
      <c r="J119" s="4" t="n"/>
    </row>
    <row r="120">
      <c r="I120" s="4" t="n"/>
      <c r="J120" s="4" t="n"/>
    </row>
    <row r="121">
      <c r="I121" s="4" t="n"/>
      <c r="J121" s="4" t="n"/>
    </row>
    <row r="122">
      <c r="I122" s="4" t="n"/>
      <c r="J122" s="4" t="n"/>
    </row>
    <row r="123">
      <c r="I123" s="4" t="n"/>
      <c r="J123" s="4" t="n"/>
    </row>
    <row r="124">
      <c r="I124" s="4" t="n"/>
      <c r="J124" s="4" t="n"/>
    </row>
    <row r="125">
      <c r="I125" s="4" t="n"/>
      <c r="J125" s="4" t="n"/>
    </row>
    <row r="126">
      <c r="I126" s="4" t="n"/>
      <c r="J126" s="4" t="n"/>
    </row>
    <row r="127">
      <c r="I127" s="4" t="n"/>
      <c r="J127" s="4" t="n"/>
    </row>
    <row r="128">
      <c r="I128" s="4" t="n"/>
      <c r="J128" s="4" t="n"/>
    </row>
    <row r="129">
      <c r="I129" s="4" t="n"/>
      <c r="J129" s="4" t="n"/>
    </row>
    <row r="130">
      <c r="I130" s="4" t="n"/>
      <c r="J130" s="4" t="n"/>
    </row>
    <row r="131">
      <c r="I131" s="4" t="n"/>
      <c r="J131" s="4" t="n"/>
    </row>
  </sheetData>
  <autoFilter ref="A7:J107"/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conditionalFormatting sqref="J8:J107">
    <cfRule type="expression" priority="1" dxfId="0">
      <formula>J8&lt;&gt;""</formula>
    </cfRule>
  </conditionalFormatting>
  <dataValidations count="2">
    <dataValidation sqref="B8:B107" showDropDown="0" showInputMessage="0" showErrorMessage="0" allowBlank="1" type="list">
      <formula1>"Jaimy,Berkan"</formula1>
    </dataValidation>
    <dataValidation sqref="E8:E107" showDropDown="0" showInputMessage="0" showErrorMessage="0" allowBlank="1" type="list">
      <formula1>"Planned,In Progress,Done,Blocked"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30" customWidth="1" min="4" max="4"/>
    <col width="46" customWidth="1" min="5" max="5"/>
    <col width="14" customWidth="1" min="6" max="6"/>
    <col width="32" customWidth="1" min="7" max="7"/>
    <col width="32" customWidth="1" min="8" max="8"/>
    <col width="16" customWidth="1" min="9" max="9"/>
  </cols>
  <sheetData>
    <row r="1" ht="38" customHeight="1">
      <c r="A1" s="1" t="inlineStr">
        <is>
          <t>GYMCREW — DAILY FOCUS</t>
        </is>
      </c>
    </row>
    <row r="2" ht="24" customHeight="1">
      <c r="A2" s="2" t="inlineStr">
        <is>
          <t>One clear focus per day: product, growth, community, content, or operations.</t>
        </is>
      </c>
    </row>
    <row r="5" ht="30" customHeight="1">
      <c r="A5" s="6" t="inlineStr">
        <is>
          <t>Date</t>
        </is>
      </c>
      <c r="B5" s="6" t="inlineStr">
        <is>
          <t>Day</t>
        </is>
      </c>
      <c r="C5" s="6" t="inlineStr">
        <is>
          <t>Main Focus</t>
        </is>
      </c>
      <c r="D5" s="6" t="inlineStr">
        <is>
          <t>Primary Goal</t>
        </is>
      </c>
      <c r="E5" s="6" t="inlineStr">
        <is>
          <t>Top 3 Priorities</t>
        </is>
      </c>
      <c r="F5" s="6" t="inlineStr">
        <is>
          <t>Owner</t>
        </is>
      </c>
      <c r="G5" s="6" t="inlineStr">
        <is>
          <t>Success Metric</t>
        </is>
      </c>
      <c r="H5" s="6" t="inlineStr">
        <is>
          <t>Notes</t>
        </is>
      </c>
      <c r="I5" s="6" t="inlineStr">
        <is>
          <t>Status</t>
        </is>
      </c>
    </row>
    <row r="6" ht="48" customHeight="1">
      <c r="A6" s="7" t="n"/>
      <c r="B6" s="8">
        <f>IF(A6="","",TEXT(A6,"dddd"))</f>
        <v/>
      </c>
      <c r="C6" s="8" t="inlineStr">
        <is>
          <t>PRODUCT</t>
        </is>
      </c>
      <c r="D6" s="8" t="inlineStr">
        <is>
          <t>Improve core workout experience</t>
        </is>
      </c>
      <c r="E6" s="8" t="inlineStr">
        <is>
          <t>Review workout logging; fix friction; test on phone</t>
        </is>
      </c>
      <c r="F6" s="8" t="inlineStr">
        <is>
          <t>Both</t>
        </is>
      </c>
      <c r="G6" s="8" t="inlineStr">
        <is>
          <t>Workout can be started/logged quickly</t>
        </is>
      </c>
      <c r="H6" s="8" t="n"/>
      <c r="I6" s="8" t="inlineStr">
        <is>
          <t>Not Started</t>
        </is>
      </c>
    </row>
    <row r="7" ht="48" customHeight="1">
      <c r="A7" s="7" t="n"/>
      <c r="B7" s="8">
        <f>IF(A7="","",TEXT(A7,"dddd"))</f>
        <v/>
      </c>
      <c r="C7" s="8" t="inlineStr">
        <is>
          <t>GROWTH</t>
        </is>
      </c>
      <c r="D7" s="8" t="inlineStr">
        <is>
          <t>Get new users</t>
        </is>
      </c>
      <c r="E7" s="8" t="inlineStr">
        <is>
          <t>Outreach; referrals; community posts</t>
        </is>
      </c>
      <c r="F7" s="8" t="inlineStr">
        <is>
          <t>Jaimy</t>
        </is>
      </c>
      <c r="G7" s="8" t="inlineStr">
        <is>
          <t>New signups</t>
        </is>
      </c>
      <c r="H7" s="8" t="n"/>
      <c r="I7" s="8" t="inlineStr">
        <is>
          <t>Not Started</t>
        </is>
      </c>
    </row>
    <row r="8" ht="48" customHeight="1">
      <c r="A8" s="7" t="n"/>
      <c r="B8" s="8">
        <f>IF(A8="","",TEXT(A8,"dddd"))</f>
        <v/>
      </c>
      <c r="C8" s="8" t="inlineStr">
        <is>
          <t>CONTENT</t>
        </is>
      </c>
      <c r="D8" s="8" t="inlineStr">
        <is>
          <t>Build GymCrew brand</t>
        </is>
      </c>
      <c r="E8" s="8" t="inlineStr">
        <is>
          <t>Create short-form content; publish; engage</t>
        </is>
      </c>
      <c r="F8" s="8" t="inlineStr">
        <is>
          <t>Berkan</t>
        </is>
      </c>
      <c r="G8" s="8" t="inlineStr">
        <is>
          <t>Views + engagement</t>
        </is>
      </c>
      <c r="H8" s="8" t="n"/>
      <c r="I8" s="8" t="inlineStr">
        <is>
          <t>Not Started</t>
        </is>
      </c>
    </row>
    <row r="9" ht="48" customHeight="1">
      <c r="A9" s="7" t="n"/>
      <c r="B9" s="8">
        <f>IF(A9="","",TEXT(A9,"dddd"))</f>
        <v/>
      </c>
      <c r="C9" s="8" t="n"/>
      <c r="D9" s="8" t="n"/>
      <c r="E9" s="8" t="n"/>
      <c r="F9" s="8" t="n"/>
      <c r="G9" s="8" t="n"/>
      <c r="H9" s="8" t="n"/>
      <c r="I9" s="8" t="n"/>
    </row>
    <row r="10" ht="48" customHeight="1">
      <c r="A10" s="7" t="n"/>
      <c r="B10" s="8">
        <f>IF(A10="","",TEXT(A10,"dddd"))</f>
        <v/>
      </c>
      <c r="C10" s="8" t="n"/>
      <c r="D10" s="8" t="n"/>
      <c r="E10" s="8" t="n"/>
      <c r="F10" s="8" t="n"/>
      <c r="G10" s="8" t="n"/>
      <c r="H10" s="8" t="n"/>
      <c r="I10" s="8" t="n"/>
    </row>
    <row r="11" ht="48" customHeight="1">
      <c r="A11" s="7" t="n"/>
      <c r="B11" s="8">
        <f>IF(A11="","",TEXT(A11,"dddd"))</f>
        <v/>
      </c>
      <c r="C11" s="8" t="n"/>
      <c r="D11" s="8" t="n"/>
      <c r="E11" s="8" t="n"/>
      <c r="F11" s="8" t="n"/>
      <c r="G11" s="8" t="n"/>
      <c r="H11" s="8" t="n"/>
      <c r="I11" s="8" t="n"/>
    </row>
    <row r="12" ht="48" customHeight="1">
      <c r="A12" s="7" t="n"/>
      <c r="B12" s="8">
        <f>IF(A12="","",TEXT(A12,"dddd"))</f>
        <v/>
      </c>
      <c r="C12" s="8" t="n"/>
      <c r="D12" s="8" t="n"/>
      <c r="E12" s="8" t="n"/>
      <c r="F12" s="8" t="n"/>
      <c r="G12" s="8" t="n"/>
      <c r="H12" s="8" t="n"/>
      <c r="I12" s="8" t="n"/>
    </row>
    <row r="13" ht="48" customHeight="1">
      <c r="A13" s="7" t="n"/>
      <c r="B13" s="8">
        <f>IF(A13="","",TEXT(A13,"dddd"))</f>
        <v/>
      </c>
      <c r="C13" s="8" t="n"/>
      <c r="D13" s="8" t="n"/>
      <c r="E13" s="8" t="n"/>
      <c r="F13" s="8" t="n"/>
      <c r="G13" s="8" t="n"/>
      <c r="H13" s="8" t="n"/>
      <c r="I13" s="8" t="n"/>
    </row>
    <row r="14" ht="48" customHeight="1">
      <c r="A14" s="7" t="n"/>
      <c r="B14" s="8">
        <f>IF(A14="","",TEXT(A14,"dddd"))</f>
        <v/>
      </c>
      <c r="C14" s="8" t="n"/>
      <c r="D14" s="8" t="n"/>
      <c r="E14" s="8" t="n"/>
      <c r="F14" s="8" t="n"/>
      <c r="G14" s="8" t="n"/>
      <c r="H14" s="8" t="n"/>
      <c r="I14" s="8" t="n"/>
    </row>
    <row r="15" ht="48" customHeight="1">
      <c r="A15" s="7" t="n"/>
      <c r="B15" s="8">
        <f>IF(A15="","",TEXT(A15,"dddd"))</f>
        <v/>
      </c>
      <c r="C15" s="8" t="n"/>
      <c r="D15" s="8" t="n"/>
      <c r="E15" s="8" t="n"/>
      <c r="F15" s="8" t="n"/>
      <c r="G15" s="8" t="n"/>
      <c r="H15" s="8" t="n"/>
      <c r="I15" s="8" t="n"/>
    </row>
    <row r="16" ht="48" customHeight="1">
      <c r="A16" s="7" t="n"/>
      <c r="B16" s="8">
        <f>IF(A16="","",TEXT(A16,"dddd"))</f>
        <v/>
      </c>
      <c r="C16" s="8" t="n"/>
      <c r="D16" s="8" t="n"/>
      <c r="E16" s="8" t="n"/>
      <c r="F16" s="8" t="n"/>
      <c r="G16" s="8" t="n"/>
      <c r="H16" s="8" t="n"/>
      <c r="I16" s="8" t="n"/>
    </row>
    <row r="17" ht="48" customHeight="1">
      <c r="A17" s="7" t="n"/>
      <c r="B17" s="8">
        <f>IF(A17="","",TEXT(A17,"dddd"))</f>
        <v/>
      </c>
      <c r="C17" s="8" t="n"/>
      <c r="D17" s="8" t="n"/>
      <c r="E17" s="8" t="n"/>
      <c r="F17" s="8" t="n"/>
      <c r="G17" s="8" t="n"/>
      <c r="H17" s="8" t="n"/>
      <c r="I17" s="8" t="n"/>
    </row>
    <row r="18" ht="48" customHeight="1">
      <c r="A18" s="7" t="n"/>
      <c r="B18" s="8">
        <f>IF(A18="","",TEXT(A18,"dddd"))</f>
        <v/>
      </c>
      <c r="C18" s="8" t="n"/>
      <c r="D18" s="8" t="n"/>
      <c r="E18" s="8" t="n"/>
      <c r="F18" s="8" t="n"/>
      <c r="G18" s="8" t="n"/>
      <c r="H18" s="8" t="n"/>
      <c r="I18" s="8" t="n"/>
    </row>
    <row r="19" ht="48" customHeight="1">
      <c r="A19" s="7" t="n"/>
      <c r="B19" s="8">
        <f>IF(A19="","",TEXT(A19,"dddd"))</f>
        <v/>
      </c>
      <c r="C19" s="8" t="n"/>
      <c r="D19" s="8" t="n"/>
      <c r="E19" s="8" t="n"/>
      <c r="F19" s="8" t="n"/>
      <c r="G19" s="8" t="n"/>
      <c r="H19" s="8" t="n"/>
      <c r="I19" s="8" t="n"/>
    </row>
    <row r="20" ht="48" customHeight="1">
      <c r="A20" s="7" t="n"/>
      <c r="B20" s="8">
        <f>IF(A20="","",TEXT(A20,"dddd"))</f>
        <v/>
      </c>
      <c r="C20" s="8" t="n"/>
      <c r="D20" s="8" t="n"/>
      <c r="E20" s="8" t="n"/>
      <c r="F20" s="8" t="n"/>
      <c r="G20" s="8" t="n"/>
      <c r="H20" s="8" t="n"/>
      <c r="I20" s="8" t="n"/>
    </row>
    <row r="21" ht="48" customHeight="1">
      <c r="A21" s="7" t="n"/>
      <c r="B21" s="8">
        <f>IF(A21="","",TEXT(A21,"dddd"))</f>
        <v/>
      </c>
      <c r="C21" s="8" t="n"/>
      <c r="D21" s="8" t="n"/>
      <c r="E21" s="8" t="n"/>
      <c r="F21" s="8" t="n"/>
      <c r="G21" s="8" t="n"/>
      <c r="H21" s="8" t="n"/>
      <c r="I21" s="8" t="n"/>
    </row>
    <row r="22" ht="48" customHeight="1">
      <c r="A22" s="7" t="n"/>
      <c r="B22" s="8">
        <f>IF(A22="","",TEXT(A22,"dddd"))</f>
        <v/>
      </c>
      <c r="C22" s="8" t="n"/>
      <c r="D22" s="8" t="n"/>
      <c r="E22" s="8" t="n"/>
      <c r="F22" s="8" t="n"/>
      <c r="G22" s="8" t="n"/>
      <c r="H22" s="8" t="n"/>
      <c r="I22" s="8" t="n"/>
    </row>
    <row r="23" ht="48" customHeight="1">
      <c r="A23" s="7" t="n"/>
      <c r="B23" s="8">
        <f>IF(A23="","",TEXT(A23,"dddd"))</f>
        <v/>
      </c>
      <c r="C23" s="8" t="n"/>
      <c r="D23" s="8" t="n"/>
      <c r="E23" s="8" t="n"/>
      <c r="F23" s="8" t="n"/>
      <c r="G23" s="8" t="n"/>
      <c r="H23" s="8" t="n"/>
      <c r="I23" s="8" t="n"/>
    </row>
    <row r="24" ht="48" customHeight="1">
      <c r="A24" s="7" t="n"/>
      <c r="B24" s="8">
        <f>IF(A24="","",TEXT(A24,"dddd"))</f>
        <v/>
      </c>
      <c r="C24" s="8" t="n"/>
      <c r="D24" s="8" t="n"/>
      <c r="E24" s="8" t="n"/>
      <c r="F24" s="8" t="n"/>
      <c r="G24" s="8" t="n"/>
      <c r="H24" s="8" t="n"/>
      <c r="I24" s="8" t="n"/>
    </row>
    <row r="25" ht="48" customHeight="1">
      <c r="A25" s="7" t="n"/>
      <c r="B25" s="8">
        <f>IF(A25="","",TEXT(A25,"dddd"))</f>
        <v/>
      </c>
      <c r="C25" s="8" t="n"/>
      <c r="D25" s="8" t="n"/>
      <c r="E25" s="8" t="n"/>
      <c r="F25" s="8" t="n"/>
      <c r="G25" s="8" t="n"/>
      <c r="H25" s="8" t="n"/>
      <c r="I25" s="8" t="n"/>
    </row>
    <row r="26" ht="48" customHeight="1">
      <c r="A26" s="7" t="n"/>
      <c r="B26" s="8">
        <f>IF(A26="","",TEXT(A26,"dddd"))</f>
        <v/>
      </c>
      <c r="C26" s="8" t="n"/>
      <c r="D26" s="8" t="n"/>
      <c r="E26" s="8" t="n"/>
      <c r="F26" s="8" t="n"/>
      <c r="G26" s="8" t="n"/>
      <c r="H26" s="8" t="n"/>
      <c r="I26" s="8" t="n"/>
    </row>
    <row r="27" ht="48" customHeight="1">
      <c r="A27" s="7" t="n"/>
      <c r="B27" s="8">
        <f>IF(A27="","",TEXT(A27,"dddd"))</f>
        <v/>
      </c>
      <c r="C27" s="8" t="n"/>
      <c r="D27" s="8" t="n"/>
      <c r="E27" s="8" t="n"/>
      <c r="F27" s="8" t="n"/>
      <c r="G27" s="8" t="n"/>
      <c r="H27" s="8" t="n"/>
      <c r="I27" s="8" t="n"/>
    </row>
    <row r="28" ht="48" customHeight="1">
      <c r="A28" s="7" t="n"/>
      <c r="B28" s="8">
        <f>IF(A28="","",TEXT(A28,"dddd"))</f>
        <v/>
      </c>
      <c r="C28" s="8" t="n"/>
      <c r="D28" s="8" t="n"/>
      <c r="E28" s="8" t="n"/>
      <c r="F28" s="8" t="n"/>
      <c r="G28" s="8" t="n"/>
      <c r="H28" s="8" t="n"/>
      <c r="I28" s="8" t="n"/>
    </row>
    <row r="29" ht="48" customHeight="1">
      <c r="A29" s="7" t="n"/>
      <c r="B29" s="8">
        <f>IF(A29="","",TEXT(A29,"dddd"))</f>
        <v/>
      </c>
      <c r="C29" s="8" t="n"/>
      <c r="D29" s="8" t="n"/>
      <c r="E29" s="8" t="n"/>
      <c r="F29" s="8" t="n"/>
      <c r="G29" s="8" t="n"/>
      <c r="H29" s="8" t="n"/>
      <c r="I29" s="8" t="n"/>
    </row>
    <row r="30" ht="48" customHeight="1">
      <c r="A30" s="7" t="n"/>
      <c r="B30" s="8">
        <f>IF(A30="","",TEXT(A30,"dddd"))</f>
        <v/>
      </c>
      <c r="C30" s="8" t="n"/>
      <c r="D30" s="8" t="n"/>
      <c r="E30" s="8" t="n"/>
      <c r="F30" s="8" t="n"/>
      <c r="G30" s="8" t="n"/>
      <c r="H30" s="8" t="n"/>
      <c r="I30" s="8" t="n"/>
    </row>
    <row r="31" ht="48" customHeight="1">
      <c r="A31" s="7" t="n"/>
      <c r="B31" s="8">
        <f>IF(A31="","",TEXT(A31,"dddd"))</f>
        <v/>
      </c>
      <c r="C31" s="8" t="n"/>
      <c r="D31" s="8" t="n"/>
      <c r="E31" s="8" t="n"/>
      <c r="F31" s="8" t="n"/>
      <c r="G31" s="8" t="n"/>
      <c r="H31" s="8" t="n"/>
      <c r="I31" s="8" t="n"/>
    </row>
    <row r="32" ht="48" customHeight="1">
      <c r="A32" s="7" t="n"/>
      <c r="B32" s="8">
        <f>IF(A32="","",TEXT(A32,"dddd"))</f>
        <v/>
      </c>
      <c r="C32" s="8" t="n"/>
      <c r="D32" s="8" t="n"/>
      <c r="E32" s="8" t="n"/>
      <c r="F32" s="8" t="n"/>
      <c r="G32" s="8" t="n"/>
      <c r="H32" s="8" t="n"/>
      <c r="I32" s="8" t="n"/>
    </row>
    <row r="33" ht="48" customHeight="1">
      <c r="A33" s="7" t="n"/>
      <c r="B33" s="8">
        <f>IF(A33="","",TEXT(A33,"dddd"))</f>
        <v/>
      </c>
      <c r="C33" s="8" t="n"/>
      <c r="D33" s="8" t="n"/>
      <c r="E33" s="8" t="n"/>
      <c r="F33" s="8" t="n"/>
      <c r="G33" s="8" t="n"/>
      <c r="H33" s="8" t="n"/>
      <c r="I33" s="8" t="n"/>
    </row>
    <row r="34" ht="48" customHeight="1">
      <c r="A34" s="7" t="n"/>
      <c r="B34" s="8">
        <f>IF(A34="","",TEXT(A34,"dddd"))</f>
        <v/>
      </c>
      <c r="C34" s="8" t="n"/>
      <c r="D34" s="8" t="n"/>
      <c r="E34" s="8" t="n"/>
      <c r="F34" s="8" t="n"/>
      <c r="G34" s="8" t="n"/>
      <c r="H34" s="8" t="n"/>
      <c r="I34" s="8" t="n"/>
    </row>
    <row r="35" ht="48" customHeight="1">
      <c r="A35" s="7" t="n"/>
      <c r="B35" s="8">
        <f>IF(A35="","",TEXT(A35,"dddd"))</f>
        <v/>
      </c>
      <c r="C35" s="8" t="n"/>
      <c r="D35" s="8" t="n"/>
      <c r="E35" s="8" t="n"/>
      <c r="F35" s="8" t="n"/>
      <c r="G35" s="8" t="n"/>
      <c r="H35" s="8" t="n"/>
      <c r="I35" s="8" t="n"/>
    </row>
    <row r="36" ht="48" customHeight="1">
      <c r="A36" s="7" t="n"/>
      <c r="B36" s="8">
        <f>IF(A36="","",TEXT(A36,"dddd"))</f>
        <v/>
      </c>
      <c r="C36" s="8" t="n"/>
      <c r="D36" s="8" t="n"/>
      <c r="E36" s="8" t="n"/>
      <c r="F36" s="8" t="n"/>
      <c r="G36" s="8" t="n"/>
      <c r="H36" s="8" t="n"/>
      <c r="I36" s="8" t="n"/>
    </row>
    <row r="38">
      <c r="A38" s="9" t="inlineStr">
        <is>
          <t>TIP</t>
        </is>
      </c>
      <c r="B38" s="10" t="inlineStr">
        <is>
          <t>Plan per dag één duidelijke hoofd-focus. De rest is ondersteunend.</t>
        </is>
      </c>
    </row>
  </sheetData>
  <autoFilter ref="A5:I36"/>
  <mergeCells count="2">
    <mergeCell ref="A1:I1"/>
    <mergeCell ref="A2:I2"/>
  </mergeCells>
  <dataValidations count="2">
    <dataValidation sqref="F6:F36" showDropDown="0" showInputMessage="0" showErrorMessage="0" allowBlank="1" type="list">
      <formula1>"Jaimy,Berkan,Both"</formula1>
    </dataValidation>
    <dataValidation sqref="I6:I36" showDropDown="0" showInputMessage="0" showErrorMessage="0" allowBlank="1" type="list">
      <formula1>"Not Started,In Progress,Done"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20" customWidth="1" min="4" max="4"/>
    <col width="48" customWidth="1" min="5" max="5"/>
    <col width="22" customWidth="1" min="6" max="6"/>
    <col width="24" customWidth="1" min="7" max="7"/>
    <col width="14" customWidth="1" min="8" max="8"/>
    <col width="16" customWidth="1" min="9" max="9"/>
    <col width="14" customWidth="1" min="10" max="10"/>
    <col width="34" customWidth="1" min="11" max="11"/>
  </cols>
  <sheetData>
    <row r="1" ht="38" customHeight="1">
      <c r="A1" s="1" t="inlineStr">
        <is>
          <t>GYMCREW — SOCIAL CONTENT PLAN</t>
        </is>
      </c>
    </row>
    <row r="2" ht="24" customHeight="1">
      <c r="A2" s="2" t="inlineStr">
        <is>
          <t>Plan exactly what gets posted, where, why, and who owns it. Keep the brand consistent.</t>
        </is>
      </c>
    </row>
    <row r="5" ht="30" customHeight="1">
      <c r="A5" s="6" t="inlineStr">
        <is>
          <t>Date</t>
        </is>
      </c>
      <c r="B5" s="6" t="inlineStr">
        <is>
          <t>Day</t>
        </is>
      </c>
      <c r="C5" s="6" t="inlineStr">
        <is>
          <t>Platform</t>
        </is>
      </c>
      <c r="D5" s="6" t="inlineStr">
        <is>
          <t>Content Type</t>
        </is>
      </c>
      <c r="E5" s="6" t="inlineStr">
        <is>
          <t>Post / Hook</t>
        </is>
      </c>
      <c r="F5" s="6" t="inlineStr">
        <is>
          <t>Goal</t>
        </is>
      </c>
      <c r="G5" s="6" t="inlineStr">
        <is>
          <t>CTA</t>
        </is>
      </c>
      <c r="H5" s="6" t="inlineStr">
        <is>
          <t>Owner</t>
        </is>
      </c>
      <c r="I5" s="6" t="inlineStr">
        <is>
          <t>Status</t>
        </is>
      </c>
      <c r="J5" s="6" t="inlineStr">
        <is>
          <t>Post Time</t>
        </is>
      </c>
      <c r="K5" s="6" t="inlineStr">
        <is>
          <t>Link / Asset</t>
        </is>
      </c>
    </row>
    <row r="6" ht="52" customHeight="1">
      <c r="A6" s="7" t="n"/>
      <c r="B6" s="8">
        <f>IF(A6="","",TEXT(A6,"dddd"))</f>
        <v/>
      </c>
      <c r="C6" s="8" t="inlineStr">
        <is>
          <t>TikTok</t>
        </is>
      </c>
      <c r="D6" s="8" t="inlineStr">
        <is>
          <t>Short Video</t>
        </is>
      </c>
      <c r="E6" s="8" t="inlineStr">
        <is>
          <t>POV: Your crew is 320 points from #1</t>
        </is>
      </c>
      <c r="F6" s="8" t="inlineStr">
        <is>
          <t>Reach</t>
        </is>
      </c>
      <c r="G6" s="8" t="inlineStr">
        <is>
          <t>Join GymCrew</t>
        </is>
      </c>
      <c r="H6" s="8" t="inlineStr">
        <is>
          <t>Berkan</t>
        </is>
      </c>
      <c r="I6" s="8" t="inlineStr">
        <is>
          <t>Idea</t>
        </is>
      </c>
      <c r="J6" s="8" t="inlineStr">
        <is>
          <t>18:00</t>
        </is>
      </c>
      <c r="K6" s="8" t="n"/>
    </row>
    <row r="7" ht="52" customHeight="1">
      <c r="A7" s="7" t="n"/>
      <c r="B7" s="8">
        <f>IF(A7="","",TEXT(A7,"dddd"))</f>
        <v/>
      </c>
      <c r="C7" s="8" t="inlineStr">
        <is>
          <t>Instagram</t>
        </is>
      </c>
      <c r="D7" s="8" t="inlineStr">
        <is>
          <t>Reel</t>
        </is>
      </c>
      <c r="E7" s="8" t="inlineStr">
        <is>
          <t>New PR reaction / rank reveal</t>
        </is>
      </c>
      <c r="F7" s="8" t="inlineStr">
        <is>
          <t>Reach</t>
        </is>
      </c>
      <c r="G7" s="8" t="inlineStr">
        <is>
          <t>Start your climb</t>
        </is>
      </c>
      <c r="H7" s="8" t="inlineStr">
        <is>
          <t>Berkan</t>
        </is>
      </c>
      <c r="I7" s="8" t="inlineStr">
        <is>
          <t>Idea</t>
        </is>
      </c>
      <c r="J7" s="8" t="inlineStr">
        <is>
          <t>19:00</t>
        </is>
      </c>
      <c r="K7" s="8" t="n"/>
    </row>
    <row r="8" ht="52" customHeight="1">
      <c r="A8" s="7" t="n"/>
      <c r="B8" s="8">
        <f>IF(A8="","",TEXT(A8,"dddd"))</f>
        <v/>
      </c>
      <c r="C8" s="8" t="inlineStr">
        <is>
          <t>YouTube</t>
        </is>
      </c>
      <c r="D8" s="8" t="inlineStr">
        <is>
          <t>Short Video</t>
        </is>
      </c>
      <c r="E8" s="8" t="inlineStr">
        <is>
          <t>What is GymCrew?</t>
        </is>
      </c>
      <c r="F8" s="8" t="inlineStr">
        <is>
          <t>Awareness</t>
        </is>
      </c>
      <c r="G8" s="8" t="inlineStr">
        <is>
          <t>Download / Join</t>
        </is>
      </c>
      <c r="H8" s="8" t="inlineStr">
        <is>
          <t>Jaimy</t>
        </is>
      </c>
      <c r="I8" s="8" t="inlineStr">
        <is>
          <t>Idea</t>
        </is>
      </c>
      <c r="J8" s="8" t="inlineStr">
        <is>
          <t>17:00</t>
        </is>
      </c>
      <c r="K8" s="8" t="n"/>
    </row>
    <row r="9" ht="52" customHeight="1">
      <c r="A9" s="7" t="n"/>
      <c r="B9" s="8">
        <f>IF(A9="","",TEXT(A9,"dddd"))</f>
        <v/>
      </c>
      <c r="C9" s="8" t="inlineStr">
        <is>
          <t>X</t>
        </is>
      </c>
      <c r="D9" s="8" t="inlineStr">
        <is>
          <t>Text Post</t>
        </is>
      </c>
      <c r="E9" s="8" t="inlineStr">
        <is>
          <t>Competitive gym thought / question</t>
        </is>
      </c>
      <c r="F9" s="8" t="inlineStr">
        <is>
          <t>Engagement</t>
        </is>
      </c>
      <c r="G9" s="8" t="inlineStr">
        <is>
          <t>Reply with your lift</t>
        </is>
      </c>
      <c r="H9" s="8" t="inlineStr">
        <is>
          <t>Jaimy</t>
        </is>
      </c>
      <c r="I9" s="8" t="inlineStr">
        <is>
          <t>Idea</t>
        </is>
      </c>
      <c r="J9" s="8" t="inlineStr">
        <is>
          <t>12:00</t>
        </is>
      </c>
      <c r="K9" s="8" t="n"/>
    </row>
    <row r="10" ht="52" customHeight="1">
      <c r="A10" s="7" t="n"/>
      <c r="B10" s="8">
        <f>IF(A10="","",TEXT(A10,"dddd"))</f>
        <v/>
      </c>
      <c r="C10" s="8" t="inlineStr">
        <is>
          <t>Reddit</t>
        </is>
      </c>
      <c r="D10" s="8" t="inlineStr">
        <is>
          <t>Community Post</t>
        </is>
      </c>
      <c r="E10" s="8" t="inlineStr">
        <is>
          <t>Gym progress / product discussion</t>
        </is>
      </c>
      <c r="F10" s="8" t="inlineStr">
        <is>
          <t>Community</t>
        </is>
      </c>
      <c r="G10" s="8" t="inlineStr">
        <is>
          <t>Share your PR</t>
        </is>
      </c>
      <c r="H10" s="8" t="inlineStr">
        <is>
          <t>Jaimy</t>
        </is>
      </c>
      <c r="I10" s="8" t="inlineStr">
        <is>
          <t>Idea</t>
        </is>
      </c>
      <c r="J10" s="8" t="inlineStr">
        <is>
          <t>19:30</t>
        </is>
      </c>
      <c r="K10" s="8" t="n"/>
    </row>
    <row r="11" ht="52" customHeight="1">
      <c r="A11" s="7" t="n"/>
      <c r="B11" s="8">
        <f>IF(A11="","",TEXT(A11,"dddd"))</f>
        <v/>
      </c>
      <c r="C11" s="8" t="inlineStr">
        <is>
          <t>Discord</t>
        </is>
      </c>
      <c r="D11" s="8" t="inlineStr">
        <is>
          <t>Community Post</t>
        </is>
      </c>
      <c r="E11" s="8" t="inlineStr">
        <is>
          <t>Daily crew challenge</t>
        </is>
      </c>
      <c r="F11" s="8" t="inlineStr">
        <is>
          <t>Retention</t>
        </is>
      </c>
      <c r="G11" s="8" t="inlineStr">
        <is>
          <t>Post your result</t>
        </is>
      </c>
      <c r="H11" s="8" t="inlineStr">
        <is>
          <t>Both</t>
        </is>
      </c>
      <c r="I11" s="8" t="inlineStr">
        <is>
          <t>Idea</t>
        </is>
      </c>
      <c r="J11" s="8" t="inlineStr">
        <is>
          <t>17:30</t>
        </is>
      </c>
      <c r="K11" s="8" t="n"/>
    </row>
    <row r="12" ht="52" customHeight="1">
      <c r="A12" s="7" t="n"/>
      <c r="B12" s="8">
        <f>IF(A12="","",TEXT(A12,"dddd"))</f>
        <v/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52" customHeight="1">
      <c r="A13" s="7" t="n"/>
      <c r="B13" s="8">
        <f>IF(A13="","",TEXT(A13,"dddd"))</f>
        <v/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52" customHeight="1">
      <c r="A14" s="7" t="n"/>
      <c r="B14" s="8">
        <f>IF(A14="","",TEXT(A14,"dddd"))</f>
        <v/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52" customHeight="1">
      <c r="A15" s="7" t="n"/>
      <c r="B15" s="8">
        <f>IF(A15="","",TEXT(A15,"dddd"))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52" customHeight="1">
      <c r="A16" s="7" t="n"/>
      <c r="B16" s="8">
        <f>IF(A16="","",TEXT(A16,"dddd"))</f>
        <v/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52" customHeight="1">
      <c r="A17" s="7" t="n"/>
      <c r="B17" s="8">
        <f>IF(A17="","",TEXT(A17,"dddd"))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52" customHeight="1">
      <c r="A18" s="7" t="n"/>
      <c r="B18" s="8">
        <f>IF(A18="","",TEXT(A18,"dddd"))</f>
        <v/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52" customHeight="1">
      <c r="A19" s="7" t="n"/>
      <c r="B19" s="8">
        <f>IF(A19="","",TEXT(A19,"dddd"))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52" customHeight="1">
      <c r="A20" s="7" t="n"/>
      <c r="B20" s="8">
        <f>IF(A20="","",TEXT(A20,"dddd"))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52" customHeight="1">
      <c r="A21" s="7" t="n"/>
      <c r="B21" s="8">
        <f>IF(A21="","",TEXT(A21,"dddd"))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52" customHeight="1">
      <c r="A22" s="7" t="n"/>
      <c r="B22" s="8">
        <f>IF(A22="","",TEXT(A22,"dddd"))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52" customHeight="1">
      <c r="A23" s="7" t="n"/>
      <c r="B23" s="8">
        <f>IF(A23="","",TEXT(A23,"dddd"))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52" customHeight="1">
      <c r="A24" s="7" t="n"/>
      <c r="B24" s="8">
        <f>IF(A24="","",TEXT(A24,"dddd"))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52" customHeight="1">
      <c r="A25" s="7" t="n"/>
      <c r="B25" s="8">
        <f>IF(A25="","",TEXT(A25,"dddd"))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52" customHeight="1">
      <c r="A26" s="7" t="n"/>
      <c r="B26" s="8">
        <f>IF(A26="","",TEXT(A26,"dddd"))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52" customHeight="1">
      <c r="A27" s="7" t="n"/>
      <c r="B27" s="8">
        <f>IF(A27="","",TEXT(A27,"dddd"))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52" customHeight="1">
      <c r="A28" s="7" t="n"/>
      <c r="B28" s="8">
        <f>IF(A28="","",TEXT(A28,"dddd"))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52" customHeight="1">
      <c r="A29" s="7" t="n"/>
      <c r="B29" s="8">
        <f>IF(A29="","",TEXT(A29,"dddd"))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52" customHeight="1">
      <c r="A30" s="7" t="n"/>
      <c r="B30" s="8">
        <f>IF(A30="","",TEXT(A30,"dddd"))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52" customHeight="1">
      <c r="A31" s="7" t="n"/>
      <c r="B31" s="8">
        <f>IF(A31="","",TEXT(A31,"dddd"))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52" customHeight="1">
      <c r="A32" s="7" t="n"/>
      <c r="B32" s="8">
        <f>IF(A32="","",TEXT(A32,"dddd"))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52" customHeight="1">
      <c r="A33" s="7" t="n"/>
      <c r="B33" s="8">
        <f>IF(A33="","",TEXT(A33,"dddd"))</f>
        <v/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52" customHeight="1">
      <c r="A34" s="7" t="n"/>
      <c r="B34" s="8">
        <f>IF(A34="","",TEXT(A34,"dddd"))</f>
        <v/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52" customHeight="1">
      <c r="A35" s="7" t="n"/>
      <c r="B35" s="8">
        <f>IF(A35="","",TEXT(A35,"dddd"))</f>
        <v/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52" customHeight="1">
      <c r="A36" s="7" t="n"/>
      <c r="B36" s="8">
        <f>IF(A36="","",TEXT(A36,"dddd"))</f>
        <v/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52" customHeight="1">
      <c r="A37" s="7" t="n"/>
      <c r="B37" s="8">
        <f>IF(A37="","",TEXT(A37,"dddd"))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52" customHeight="1">
      <c r="A38" s="7" t="n"/>
      <c r="B38" s="8">
        <f>IF(A38="","",TEXT(A38,"dddd"))</f>
        <v/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52" customHeight="1">
      <c r="A39" s="7" t="n"/>
      <c r="B39" s="8">
        <f>IF(A39="","",TEXT(A39,"dddd"))</f>
        <v/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52" customHeight="1">
      <c r="A40" s="7" t="n"/>
      <c r="B40" s="8">
        <f>IF(A40="","",TEXT(A40,"dddd"))</f>
        <v/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 ht="52" customHeight="1">
      <c r="A41" s="7" t="n"/>
      <c r="B41" s="8">
        <f>IF(A41="","",TEXT(A41,"dddd"))</f>
        <v/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52" customHeight="1">
      <c r="A42" s="7" t="n"/>
      <c r="B42" s="8">
        <f>IF(A42="","",TEXT(A42,"dddd"))</f>
        <v/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52" customHeight="1">
      <c r="A43" s="7" t="n"/>
      <c r="B43" s="8">
        <f>IF(A43="","",TEXT(A43,"dddd"))</f>
        <v/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52" customHeight="1">
      <c r="A44" s="7" t="n"/>
      <c r="B44" s="8">
        <f>IF(A44="","",TEXT(A44,"dddd"))</f>
        <v/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 ht="52" customHeight="1">
      <c r="A45" s="7" t="n"/>
      <c r="B45" s="8">
        <f>IF(A45="","",TEXT(A45,"dddd"))</f>
        <v/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 ht="52" customHeight="1">
      <c r="A46" s="7" t="n"/>
      <c r="B46" s="8">
        <f>IF(A46="","",TEXT(A46,"dddd"))</f>
        <v/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52" customHeight="1">
      <c r="A47" s="7" t="n"/>
      <c r="B47" s="8">
        <f>IF(A47="","",TEXT(A47,"dddd"))</f>
        <v/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 ht="52" customHeight="1">
      <c r="A48" s="7" t="n"/>
      <c r="B48" s="8">
        <f>IF(A48="","",TEXT(A48,"dddd"))</f>
        <v/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 ht="52" customHeight="1">
      <c r="A49" s="7" t="n"/>
      <c r="B49" s="8">
        <f>IF(A49="","",TEXT(A49,"dddd"))</f>
        <v/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 ht="52" customHeight="1">
      <c r="A50" s="7" t="n"/>
      <c r="B50" s="8">
        <f>IF(A50="","",TEXT(A50,"dddd"))</f>
        <v/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 ht="52" customHeight="1">
      <c r="A51" s="7" t="n"/>
      <c r="B51" s="8">
        <f>IF(A51="","",TEXT(A51,"dddd"))</f>
        <v/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 ht="52" customHeight="1">
      <c r="A52" s="7" t="n"/>
      <c r="B52" s="8">
        <f>IF(A52="","",TEXT(A52,"dddd"))</f>
        <v/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 ht="52" customHeight="1">
      <c r="A53" s="7" t="n"/>
      <c r="B53" s="8">
        <f>IF(A53="","",TEXT(A53,"dddd"))</f>
        <v/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 ht="52" customHeight="1">
      <c r="A54" s="7" t="n"/>
      <c r="B54" s="8">
        <f>IF(A54="","",TEXT(A54,"dddd"))</f>
        <v/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 ht="52" customHeight="1">
      <c r="A55" s="7" t="n"/>
      <c r="B55" s="8">
        <f>IF(A55="","",TEXT(A55,"dddd"))</f>
        <v/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 ht="52" customHeight="1">
      <c r="A56" s="7" t="n"/>
      <c r="B56" s="8">
        <f>IF(A56="","",TEXT(A56,"dddd"))</f>
        <v/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 ht="52" customHeight="1">
      <c r="A57" s="7" t="n"/>
      <c r="B57" s="8">
        <f>IF(A57="","",TEXT(A57,"dddd"))</f>
        <v/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52" customHeight="1">
      <c r="A58" s="7" t="n"/>
      <c r="B58" s="8">
        <f>IF(A58="","",TEXT(A58,"dddd"))</f>
        <v/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 ht="52" customHeight="1">
      <c r="A59" s="7" t="n"/>
      <c r="B59" s="8">
        <f>IF(A59="","",TEXT(A59,"dddd"))</f>
        <v/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 ht="52" customHeight="1">
      <c r="A60" s="7" t="n"/>
      <c r="B60" s="8">
        <f>IF(A60="","",TEXT(A60,"dddd"))</f>
        <v/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 ht="52" customHeight="1">
      <c r="A61" s="7" t="n"/>
      <c r="B61" s="8">
        <f>IF(A61="","",TEXT(A61,"dddd"))</f>
        <v/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 ht="52" customHeight="1">
      <c r="A62" s="7" t="n"/>
      <c r="B62" s="8">
        <f>IF(A62="","",TEXT(A62,"dddd"))</f>
        <v/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 ht="52" customHeight="1">
      <c r="A63" s="7" t="n"/>
      <c r="B63" s="8">
        <f>IF(A63="","",TEXT(A63,"dddd"))</f>
        <v/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 ht="52" customHeight="1">
      <c r="A64" s="7" t="n"/>
      <c r="B64" s="8">
        <f>IF(A64="","",TEXT(A64,"dddd"))</f>
        <v/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 ht="52" customHeight="1">
      <c r="A65" s="7" t="n"/>
      <c r="B65" s="8">
        <f>IF(A65="","",TEXT(A65,"dddd"))</f>
        <v/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 ht="52" customHeight="1">
      <c r="A66" s="7" t="n"/>
      <c r="B66" s="8">
        <f>IF(A66="","",TEXT(A66,"dddd"))</f>
        <v/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 ht="52" customHeight="1">
      <c r="A67" s="7" t="n"/>
      <c r="B67" s="8">
        <f>IF(A67="","",TEXT(A67,"dddd"))</f>
        <v/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9">
      <c r="A69" s="9" t="inlineStr">
        <is>
          <t>TIP</t>
        </is>
      </c>
      <c r="B69" s="10" t="inlineStr">
        <is>
          <t>Maak content één keer en hergebruik de kern voor meerdere platformen, aangepast aan het platform.</t>
        </is>
      </c>
    </row>
  </sheetData>
  <autoFilter ref="A5:K67"/>
  <mergeCells count="2">
    <mergeCell ref="A2:K2"/>
    <mergeCell ref="A1:K1"/>
  </mergeCells>
  <dataValidations count="4">
    <dataValidation sqref="C6:C67" showDropDown="0" showInputMessage="0" showErrorMessage="0" allowBlank="1" type="list">
      <formula1>"TikTok,Instagram,YouTube,YouTube Shorts,X,Reddit,Discord,LinkedIn"</formula1>
    </dataValidation>
    <dataValidation sqref="D6:D67" showDropDown="0" showInputMessage="0" showErrorMessage="0" allowBlank="1" type="list">
      <formula1>"Short Video,Carousel,Story,Image,Text Post,Community Post,Long Video"</formula1>
    </dataValidation>
    <dataValidation sqref="H6:H67" showDropDown="0" showInputMessage="0" showErrorMessage="0" allowBlank="1" type="list">
      <formula1>"Jaimy,Berkan,Both"</formula1>
    </dataValidation>
    <dataValidation sqref="I6:I67" showDropDown="0" showInputMessage="0" showErrorMessage="0" allowBlank="1" type="list">
      <formula1>"Idea,Planned,Created,Scheduled,Posted"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0" customWidth="1" min="4" max="4"/>
    <col width="22" customWidth="1" min="5" max="5"/>
    <col width="55" customWidth="1" min="6" max="6"/>
    <col width="25" customWidth="1" min="7" max="7"/>
    <col width="14" customWidth="1" min="8" max="8"/>
    <col width="16" customWidth="1" min="9" max="9"/>
    <col width="34" customWidth="1" min="10" max="10"/>
  </cols>
  <sheetData>
    <row r="1" ht="38" customHeight="1">
      <c r="A1" s="1" t="inlineStr">
        <is>
          <t>GYMCREW — DISCORD DAILY PLAN</t>
        </is>
      </c>
    </row>
    <row r="2" ht="24" customHeight="1">
      <c r="A2" s="2" t="inlineStr">
        <is>
          <t>Daily Discord checklist: what to post, where to post it, why it matters, and who owns it.</t>
        </is>
      </c>
    </row>
    <row r="4">
      <c r="A4" s="3" t="inlineStr">
        <is>
          <t>POSTS PLANNED</t>
        </is>
      </c>
      <c r="B4" s="4" t="n"/>
      <c r="C4" s="3" t="inlineStr">
        <is>
          <t>POSTS DONE</t>
        </is>
      </c>
      <c r="D4" s="4" t="n"/>
      <c r="E4" s="3" t="inlineStr">
        <is>
          <t>TODAY'S POSTS</t>
        </is>
      </c>
      <c r="F4" s="4" t="n"/>
      <c r="G4" s="3" t="inlineStr">
        <is>
          <t>OWNED BY JAIMY</t>
        </is>
      </c>
      <c r="H4" s="4" t="n"/>
    </row>
    <row r="5">
      <c r="A5" s="5">
        <f>COUNTIF(I7:I106,"&lt;&gt;")</f>
        <v/>
      </c>
      <c r="B5" s="4" t="n"/>
      <c r="C5" s="5">
        <f>COUNTIF(I7:I106,"Posted")</f>
        <v/>
      </c>
      <c r="D5" s="4" t="n"/>
      <c r="E5" s="5">
        <f>COUNTIF(A7:A106,TODAY())</f>
        <v/>
      </c>
      <c r="F5" s="4" t="n"/>
      <c r="G5" s="5">
        <f>COUNTIF(H7:H106,"Jaimy")</f>
        <v/>
      </c>
      <c r="H5" s="4" t="n"/>
    </row>
    <row r="6" ht="30" customHeight="1">
      <c r="A6" s="6" t="inlineStr">
        <is>
          <t>Date</t>
        </is>
      </c>
      <c r="B6" s="6" t="inlineStr">
        <is>
          <t>Day</t>
        </is>
      </c>
      <c r="C6" s="6" t="inlineStr">
        <is>
          <t>Time</t>
        </is>
      </c>
      <c r="D6" s="6" t="inlineStr">
        <is>
          <t>Channel</t>
        </is>
      </c>
      <c r="E6" s="6" t="inlineStr">
        <is>
          <t>Content Type</t>
        </is>
      </c>
      <c r="F6" s="6" t="inlineStr">
        <is>
          <t>What to Post</t>
        </is>
      </c>
      <c r="G6" s="6" t="inlineStr">
        <is>
          <t>Goal</t>
        </is>
      </c>
      <c r="H6" s="6" t="inlineStr">
        <is>
          <t>Owner</t>
        </is>
      </c>
      <c r="I6" s="6" t="inlineStr">
        <is>
          <t>Status</t>
        </is>
      </c>
      <c r="J6" s="6" t="inlineStr">
        <is>
          <t>Link / Notes</t>
        </is>
      </c>
    </row>
    <row r="7" ht="55" customHeight="1">
      <c r="A7" s="7" t="n"/>
      <c r="B7" s="8">
        <f>IF(A7="","",TEXT(A7,"dddd"))</f>
        <v/>
      </c>
      <c r="C7" s="8" t="inlineStr">
        <is>
          <t>08:00</t>
        </is>
      </c>
      <c r="D7" s="8" t="inlineStr">
        <is>
          <t>general</t>
        </is>
      </c>
      <c r="E7" s="8" t="inlineStr">
        <is>
          <t>Daily Challenge</t>
        </is>
      </c>
      <c r="F7" s="8" t="inlineStr">
        <is>
          <t>Good morning crew. What are you training today? Drop your workout below.</t>
        </is>
      </c>
      <c r="G7" s="8" t="inlineStr">
        <is>
          <t>Engagement</t>
        </is>
      </c>
      <c r="H7" s="8" t="inlineStr">
        <is>
          <t>Berkan</t>
        </is>
      </c>
      <c r="I7" s="8" t="inlineStr">
        <is>
          <t>Planned</t>
        </is>
      </c>
      <c r="J7" s="8" t="n"/>
    </row>
    <row r="8" ht="55" customHeight="1">
      <c r="A8" s="7" t="n"/>
      <c r="B8" s="8">
        <f>IF(A8="","",TEXT(A8,"dddd"))</f>
        <v/>
      </c>
      <c r="C8" s="8" t="inlineStr">
        <is>
          <t>12:00</t>
        </is>
      </c>
      <c r="D8" s="8" t="inlineStr">
        <is>
          <t>pr-challenge</t>
        </is>
      </c>
      <c r="E8" s="8" t="inlineStr">
        <is>
          <t>Progress/PR</t>
        </is>
      </c>
      <c r="F8" s="8" t="inlineStr">
        <is>
          <t>PR check-in: what lift are you trying to beat this week?</t>
        </is>
      </c>
      <c r="G8" s="8" t="inlineStr">
        <is>
          <t>Motivation</t>
        </is>
      </c>
      <c r="H8" s="8" t="inlineStr">
        <is>
          <t>Jaimy</t>
        </is>
      </c>
      <c r="I8" s="8" t="inlineStr">
        <is>
          <t>Planned</t>
        </is>
      </c>
      <c r="J8" s="8" t="n"/>
    </row>
    <row r="9" ht="55" customHeight="1">
      <c r="A9" s="7" t="n"/>
      <c r="B9" s="8">
        <f>IF(A9="","",TEXT(A9,"dddd"))</f>
        <v/>
      </c>
      <c r="C9" s="8" t="inlineStr">
        <is>
          <t>17:00</t>
        </is>
      </c>
      <c r="D9" s="8" t="inlineStr">
        <is>
          <t>workout-talk</t>
        </is>
      </c>
      <c r="E9" s="8" t="inlineStr">
        <is>
          <t>Community Prompt</t>
        </is>
      </c>
      <c r="F9" s="8" t="inlineStr">
        <is>
          <t>Gym check-in: who is training today? Tell us your workout.</t>
        </is>
      </c>
      <c r="G9" s="8" t="inlineStr">
        <is>
          <t>Activity</t>
        </is>
      </c>
      <c r="H9" s="8" t="inlineStr">
        <is>
          <t>Both</t>
        </is>
      </c>
      <c r="I9" s="8" t="inlineStr">
        <is>
          <t>Planned</t>
        </is>
      </c>
      <c r="J9" s="8" t="n"/>
    </row>
    <row r="10" ht="55" customHeight="1">
      <c r="A10" s="7" t="n"/>
      <c r="B10" s="8">
        <f>IF(A10="","",TEXT(A10,"dddd"))</f>
        <v/>
      </c>
      <c r="C10" s="8" t="inlineStr">
        <is>
          <t>19:30</t>
        </is>
      </c>
      <c r="D10" s="8" t="inlineStr">
        <is>
          <t>leaderboard</t>
        </is>
      </c>
      <c r="E10" s="8" t="inlineStr">
        <is>
          <t>Leaderboard</t>
        </is>
      </c>
      <c r="F10" s="8" t="inlineStr">
        <is>
          <t>Daily crew leaderboard update + biggest movers.</t>
        </is>
      </c>
      <c r="G10" s="8" t="inlineStr">
        <is>
          <t>Competition</t>
        </is>
      </c>
      <c r="H10" s="8" t="inlineStr">
        <is>
          <t>Jaimy</t>
        </is>
      </c>
      <c r="I10" s="8" t="inlineStr">
        <is>
          <t>Planned</t>
        </is>
      </c>
      <c r="J10" s="8" t="n"/>
    </row>
    <row r="11" ht="55" customHeight="1">
      <c r="A11" s="7" t="n"/>
      <c r="B11" s="8">
        <f>IF(A11="","",TEXT(A11,"dddd"))</f>
        <v/>
      </c>
      <c r="C11" s="8" t="inlineStr">
        <is>
          <t>21:00</t>
        </is>
      </c>
      <c r="D11" s="8" t="inlineStr">
        <is>
          <t>general</t>
        </is>
      </c>
      <c r="E11" s="8" t="inlineStr">
        <is>
          <t>Question</t>
        </is>
      </c>
      <c r="F11" s="8" t="inlineStr">
        <is>
          <t>What was your best set today? Post weight × reps.</t>
        </is>
      </c>
      <c r="G11" s="8" t="inlineStr">
        <is>
          <t>Engagement</t>
        </is>
      </c>
      <c r="H11" s="8" t="inlineStr">
        <is>
          <t>Berkan</t>
        </is>
      </c>
      <c r="I11" s="8" t="inlineStr">
        <is>
          <t>Planned</t>
        </is>
      </c>
      <c r="J11" s="8" t="n"/>
    </row>
    <row r="12" ht="55" customHeight="1">
      <c r="A12" s="7" t="n"/>
      <c r="B12" s="8">
        <f>IF(A12="","",TEXT(A12,"dddd"))</f>
        <v/>
      </c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55" customHeight="1">
      <c r="A13" s="7" t="n"/>
      <c r="B13" s="8">
        <f>IF(A13="","",TEXT(A13,"dddd"))</f>
        <v/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55" customHeight="1">
      <c r="A14" s="7" t="n"/>
      <c r="B14" s="8" t="inlineStr">
        <is>
          <t>Monday</t>
        </is>
      </c>
      <c r="C14" s="8" t="n"/>
      <c r="D14" s="8" t="n"/>
      <c r="E14" s="8" t="inlineStr">
        <is>
          <t>Weekly Challenge</t>
        </is>
      </c>
      <c r="F14" s="8" t="inlineStr">
        <is>
          <t>Set the week's challenge and target.</t>
        </is>
      </c>
      <c r="G14" s="8" t="inlineStr">
        <is>
          <t>Community + retention</t>
        </is>
      </c>
      <c r="H14" s="8" t="n"/>
      <c r="I14" s="8" t="inlineStr">
        <is>
          <t>Idea</t>
        </is>
      </c>
      <c r="J14" s="8" t="n"/>
    </row>
    <row r="15" ht="55" customHeight="1">
      <c r="A15" s="7" t="n"/>
      <c r="B15" s="8" t="inlineStr">
        <is>
          <t>Tuesday</t>
        </is>
      </c>
      <c r="C15" s="8" t="n"/>
      <c r="D15" s="8" t="n"/>
      <c r="E15" s="8" t="inlineStr">
        <is>
          <t>Progress/PR</t>
        </is>
      </c>
      <c r="F15" s="8" t="inlineStr">
        <is>
          <t>Ask members to share a recent PR or personal improvement.</t>
        </is>
      </c>
      <c r="G15" s="8" t="inlineStr">
        <is>
          <t>Community + retention</t>
        </is>
      </c>
      <c r="H15" s="8" t="n"/>
      <c r="I15" s="8" t="inlineStr">
        <is>
          <t>Idea</t>
        </is>
      </c>
      <c r="J15" s="8" t="n"/>
    </row>
    <row r="16" ht="55" customHeight="1">
      <c r="A16" s="7" t="n"/>
      <c r="B16" s="8" t="inlineStr">
        <is>
          <t>Wednesday</t>
        </is>
      </c>
      <c r="C16" s="8" t="n"/>
      <c r="D16" s="8" t="n"/>
      <c r="E16" s="8" t="inlineStr">
        <is>
          <t>Poll</t>
        </is>
      </c>
      <c r="F16" s="8" t="inlineStr">
        <is>
          <t>Midweek poll: what are you training / what is your weakest lift?</t>
        </is>
      </c>
      <c r="G16" s="8" t="inlineStr">
        <is>
          <t>Community + retention</t>
        </is>
      </c>
      <c r="H16" s="8" t="n"/>
      <c r="I16" s="8" t="inlineStr">
        <is>
          <t>Idea</t>
        </is>
      </c>
      <c r="J16" s="8" t="n"/>
    </row>
    <row r="17" ht="55" customHeight="1">
      <c r="A17" s="7" t="n"/>
      <c r="B17" s="8" t="inlineStr">
        <is>
          <t>Thursday</t>
        </is>
      </c>
      <c r="C17" s="8" t="n"/>
      <c r="D17" s="8" t="n"/>
      <c r="E17" s="8" t="inlineStr">
        <is>
          <t>Community Prompt</t>
        </is>
      </c>
      <c r="F17" s="8" t="inlineStr">
        <is>
          <t>Ask members to post today's workout.</t>
        </is>
      </c>
      <c r="G17" s="8" t="inlineStr">
        <is>
          <t>Community + retention</t>
        </is>
      </c>
      <c r="H17" s="8" t="n"/>
      <c r="I17" s="8" t="inlineStr">
        <is>
          <t>Idea</t>
        </is>
      </c>
      <c r="J17" s="8" t="n"/>
    </row>
    <row r="18" ht="55" customHeight="1">
      <c r="A18" s="7" t="n"/>
      <c r="B18" s="8" t="inlineStr">
        <is>
          <t>Friday</t>
        </is>
      </c>
      <c r="C18" s="8" t="n"/>
      <c r="D18" s="8" t="n"/>
      <c r="E18" s="8" t="inlineStr">
        <is>
          <t>Leaderboard</t>
        </is>
      </c>
      <c r="F18" s="8" t="inlineStr">
        <is>
          <t>Show weekly crew standings and biggest movers.</t>
        </is>
      </c>
      <c r="G18" s="8" t="inlineStr">
        <is>
          <t>Community + retention</t>
        </is>
      </c>
      <c r="H18" s="8" t="n"/>
      <c r="I18" s="8" t="inlineStr">
        <is>
          <t>Idea</t>
        </is>
      </c>
      <c r="J18" s="8" t="n"/>
    </row>
    <row r="19" ht="55" customHeight="1">
      <c r="A19" s="7" t="n"/>
      <c r="B19" s="8" t="inlineStr">
        <is>
          <t>Saturday</t>
        </is>
      </c>
      <c r="C19" s="8" t="n"/>
      <c r="D19" s="8" t="n"/>
      <c r="E19" s="8" t="inlineStr">
        <is>
          <t>Daily Challenge</t>
        </is>
      </c>
      <c r="F19" s="8" t="inlineStr">
        <is>
          <t>Weekend challenge: complete a workout and post proof/result.</t>
        </is>
      </c>
      <c r="G19" s="8" t="inlineStr">
        <is>
          <t>Community + retention</t>
        </is>
      </c>
      <c r="H19" s="8" t="n"/>
      <c r="I19" s="8" t="inlineStr">
        <is>
          <t>Idea</t>
        </is>
      </c>
      <c r="J19" s="8" t="n"/>
    </row>
    <row r="20" ht="55" customHeight="1">
      <c r="A20" s="7" t="n"/>
      <c r="B20" s="8" t="inlineStr">
        <is>
          <t>Sunday</t>
        </is>
      </c>
      <c r="C20" s="8" t="n"/>
      <c r="D20" s="8" t="n"/>
      <c r="E20" s="8" t="inlineStr">
        <is>
          <t>Weekly Recap</t>
        </is>
      </c>
      <c r="F20" s="8" t="inlineStr">
        <is>
          <t>Recap wins, PRs, crew points and tease next week.</t>
        </is>
      </c>
      <c r="G20" s="8" t="inlineStr">
        <is>
          <t>Community + retention</t>
        </is>
      </c>
      <c r="H20" s="8" t="n"/>
      <c r="I20" s="8" t="inlineStr">
        <is>
          <t>Idea</t>
        </is>
      </c>
      <c r="J20" s="8" t="n"/>
    </row>
    <row r="21" ht="55" customHeight="1">
      <c r="A21" s="7" t="n"/>
      <c r="B21" s="8">
        <f>IF(A21="","",TEXT(A21,"dddd"))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55" customHeight="1">
      <c r="A22" s="7" t="n"/>
      <c r="B22" s="8">
        <f>IF(A22="","",TEXT(A22,"dddd"))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55" customHeight="1">
      <c r="A23" s="14" t="inlineStr">
        <is>
          <t>TIP</t>
        </is>
      </c>
      <c r="B23" s="15" t="inlineStr">
        <is>
          <t>Gebruik de kanalen uit je eigen Discord. Vervang de voorbeeldnamen hierboven zodra je definitieve channel-structuur staat.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55" customHeight="1">
      <c r="A24" s="7" t="n"/>
      <c r="B24" s="8">
        <f>IF(A24="","",TEXT(A24,"dddd"))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55" customHeight="1">
      <c r="A25" s="7" t="n"/>
      <c r="B25" s="8">
        <f>IF(A25="","",TEXT(A25,"dddd"))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55" customHeight="1">
      <c r="A26" s="7" t="n"/>
      <c r="B26" s="8">
        <f>IF(A26="","",TEXT(A26,"dddd"))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55" customHeight="1">
      <c r="A27" s="7" t="n"/>
      <c r="B27" s="8">
        <f>IF(A27="","",TEXT(A27,"dddd"))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55" customHeight="1">
      <c r="A28" s="7" t="n"/>
      <c r="B28" s="8">
        <f>IF(A28="","",TEXT(A28,"dddd"))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55" customHeight="1">
      <c r="A29" s="7" t="n"/>
      <c r="B29" s="8">
        <f>IF(A29="","",TEXT(A29,"dddd"))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55" customHeight="1">
      <c r="A30" s="7" t="n"/>
      <c r="B30" s="8">
        <f>IF(A30="","",TEXT(A30,"dddd"))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55" customHeight="1">
      <c r="A31" s="7" t="n"/>
      <c r="B31" s="8">
        <f>IF(A31="","",TEXT(A31,"dddd"))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55" customHeight="1">
      <c r="A32" s="7" t="n"/>
      <c r="B32" s="8">
        <f>IF(A32="","",TEXT(A32,"dddd"))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55" customHeight="1">
      <c r="A33" s="7" t="n"/>
      <c r="B33" s="8">
        <f>IF(A33="","",TEXT(A33,"dddd"))</f>
        <v/>
      </c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55" customHeight="1">
      <c r="A34" s="7" t="n"/>
      <c r="B34" s="8">
        <f>IF(A34="","",TEXT(A34,"dddd"))</f>
        <v/>
      </c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55" customHeight="1">
      <c r="A35" s="7" t="n"/>
      <c r="B35" s="8">
        <f>IF(A35="","",TEXT(A35,"dddd"))</f>
        <v/>
      </c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55" customHeight="1">
      <c r="A36" s="7" t="n"/>
      <c r="B36" s="8">
        <f>IF(A36="","",TEXT(A36,"dddd"))</f>
        <v/>
      </c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55" customHeight="1">
      <c r="A37" s="7" t="n"/>
      <c r="B37" s="8">
        <f>IF(A37="","",TEXT(A37,"dddd"))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55" customHeight="1">
      <c r="A38" s="7" t="n"/>
      <c r="B38" s="8">
        <f>IF(A38="","",TEXT(A38,"dddd"))</f>
        <v/>
      </c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55" customHeight="1">
      <c r="A39" s="7" t="n"/>
      <c r="B39" s="8">
        <f>IF(A39="","",TEXT(A39,"dddd"))</f>
        <v/>
      </c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55" customHeight="1">
      <c r="A40" s="7" t="n"/>
      <c r="B40" s="8">
        <f>IF(A40="","",TEXT(A40,"dddd"))</f>
        <v/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55" customHeight="1">
      <c r="A41" s="7" t="n"/>
      <c r="B41" s="8">
        <f>IF(A41="","",TEXT(A41,"dddd"))</f>
        <v/>
      </c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55" customHeight="1">
      <c r="A42" s="7" t="n"/>
      <c r="B42" s="8">
        <f>IF(A42="","",TEXT(A42,"dddd"))</f>
        <v/>
      </c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55" customHeight="1">
      <c r="A43" s="7" t="n"/>
      <c r="B43" s="8">
        <f>IF(A43="","",TEXT(A43,"dddd"))</f>
        <v/>
      </c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55" customHeight="1">
      <c r="A44" s="7" t="n"/>
      <c r="B44" s="8">
        <f>IF(A44="","",TEXT(A44,"dddd"))</f>
        <v/>
      </c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55" customHeight="1">
      <c r="A45" s="7" t="n"/>
      <c r="B45" s="8">
        <f>IF(A45="","",TEXT(A45,"dddd"))</f>
        <v/>
      </c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55" customHeight="1">
      <c r="A46" s="7" t="n"/>
      <c r="B46" s="8">
        <f>IF(A46="","",TEXT(A46,"dddd"))</f>
        <v/>
      </c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55" customHeight="1">
      <c r="A47" s="7" t="n"/>
      <c r="B47" s="8">
        <f>IF(A47="","",TEXT(A47,"dddd"))</f>
        <v/>
      </c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55" customHeight="1">
      <c r="A48" s="7" t="n"/>
      <c r="B48" s="8">
        <f>IF(A48="","",TEXT(A48,"dddd"))</f>
        <v/>
      </c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55" customHeight="1">
      <c r="A49" s="7" t="n"/>
      <c r="B49" s="8">
        <f>IF(A49="","",TEXT(A49,"dddd"))</f>
        <v/>
      </c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55" customHeight="1">
      <c r="A50" s="7" t="n"/>
      <c r="B50" s="8">
        <f>IF(A50="","",TEXT(A50,"dddd"))</f>
        <v/>
      </c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55" customHeight="1">
      <c r="A51" s="7" t="n"/>
      <c r="B51" s="8">
        <f>IF(A51="","",TEXT(A51,"dddd"))</f>
        <v/>
      </c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55" customHeight="1">
      <c r="A52" s="7" t="n"/>
      <c r="B52" s="8">
        <f>IF(A52="","",TEXT(A52,"dddd"))</f>
        <v/>
      </c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55" customHeight="1">
      <c r="A53" s="7" t="n"/>
      <c r="B53" s="8">
        <f>IF(A53="","",TEXT(A53,"dddd"))</f>
        <v/>
      </c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55" customHeight="1">
      <c r="A54" s="7" t="n"/>
      <c r="B54" s="8">
        <f>IF(A54="","",TEXT(A54,"dddd"))</f>
        <v/>
      </c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55" customHeight="1">
      <c r="A55" s="7" t="n"/>
      <c r="B55" s="8">
        <f>IF(A55="","",TEXT(A55,"dddd"))</f>
        <v/>
      </c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55" customHeight="1">
      <c r="A56" s="7" t="n"/>
      <c r="B56" s="8">
        <f>IF(A56="","",TEXT(A56,"dddd"))</f>
        <v/>
      </c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55" customHeight="1">
      <c r="A57" s="7" t="n"/>
      <c r="B57" s="8">
        <f>IF(A57="","",TEXT(A57,"dddd"))</f>
        <v/>
      </c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55" customHeight="1">
      <c r="A58" s="7" t="n"/>
      <c r="B58" s="8">
        <f>IF(A58="","",TEXT(A58,"dddd"))</f>
        <v/>
      </c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55" customHeight="1">
      <c r="A59" s="7" t="n"/>
      <c r="B59" s="8">
        <f>IF(A59="","",TEXT(A59,"dddd"))</f>
        <v/>
      </c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55" customHeight="1">
      <c r="A60" s="7" t="n"/>
      <c r="B60" s="8">
        <f>IF(A60="","",TEXT(A60,"dddd"))</f>
        <v/>
      </c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55" customHeight="1">
      <c r="A61" s="7" t="n"/>
      <c r="B61" s="8">
        <f>IF(A61="","",TEXT(A61,"dddd"))</f>
        <v/>
      </c>
      <c r="C61" s="8" t="n"/>
      <c r="D61" s="8" t="n"/>
      <c r="E61" s="8" t="n"/>
      <c r="F61" s="8" t="n"/>
      <c r="G61" s="8" t="n"/>
      <c r="H61" s="8" t="n"/>
      <c r="I61" s="8" t="n"/>
      <c r="J61" s="8" t="n"/>
    </row>
    <row r="62" ht="55" customHeight="1">
      <c r="A62" s="7" t="n"/>
      <c r="B62" s="8">
        <f>IF(A62="","",TEXT(A62,"dddd"))</f>
        <v/>
      </c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55" customHeight="1">
      <c r="A63" s="7" t="n"/>
      <c r="B63" s="8">
        <f>IF(A63="","",TEXT(A63,"dddd"))</f>
        <v/>
      </c>
      <c r="C63" s="8" t="n"/>
      <c r="D63" s="8" t="n"/>
      <c r="E63" s="8" t="n"/>
      <c r="F63" s="8" t="n"/>
      <c r="G63" s="8" t="n"/>
      <c r="H63" s="8" t="n"/>
      <c r="I63" s="8" t="n"/>
      <c r="J63" s="8" t="n"/>
    </row>
    <row r="64" ht="55" customHeight="1">
      <c r="A64" s="7" t="n"/>
      <c r="B64" s="8">
        <f>IF(A64="","",TEXT(A64,"dddd"))</f>
        <v/>
      </c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55" customHeight="1">
      <c r="A65" s="7" t="n"/>
      <c r="B65" s="8">
        <f>IF(A65="","",TEXT(A65,"dddd"))</f>
        <v/>
      </c>
      <c r="C65" s="8" t="n"/>
      <c r="D65" s="8" t="n"/>
      <c r="E65" s="8" t="n"/>
      <c r="F65" s="8" t="n"/>
      <c r="G65" s="8" t="n"/>
      <c r="H65" s="8" t="n"/>
      <c r="I65" s="8" t="n"/>
      <c r="J65" s="8" t="n"/>
    </row>
    <row r="66" ht="55" customHeight="1">
      <c r="A66" s="7" t="n"/>
      <c r="B66" s="8">
        <f>IF(A66="","",TEXT(A66,"dddd"))</f>
        <v/>
      </c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55" customHeight="1">
      <c r="A67" s="7" t="n"/>
      <c r="B67" s="8">
        <f>IF(A67="","",TEXT(A67,"dddd"))</f>
        <v/>
      </c>
      <c r="C67" s="8" t="n"/>
      <c r="D67" s="8" t="n"/>
      <c r="E67" s="8" t="n"/>
      <c r="F67" s="8" t="n"/>
      <c r="G67" s="8" t="n"/>
      <c r="H67" s="8" t="n"/>
      <c r="I67" s="8" t="n"/>
      <c r="J67" s="8" t="n"/>
    </row>
    <row r="68" ht="55" customHeight="1">
      <c r="A68" s="7" t="n"/>
      <c r="B68" s="8">
        <f>IF(A68="","",TEXT(A68,"dddd"))</f>
        <v/>
      </c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55" customHeight="1">
      <c r="A69" s="7" t="n"/>
      <c r="B69" s="8">
        <f>IF(A69="","",TEXT(A69,"dddd"))</f>
        <v/>
      </c>
      <c r="C69" s="8" t="n"/>
      <c r="D69" s="8" t="n"/>
      <c r="E69" s="8" t="n"/>
      <c r="F69" s="8" t="n"/>
      <c r="G69" s="8" t="n"/>
      <c r="H69" s="8" t="n"/>
      <c r="I69" s="8" t="n"/>
      <c r="J69" s="8" t="n"/>
    </row>
    <row r="70" ht="55" customHeight="1">
      <c r="A70" s="7" t="n"/>
      <c r="B70" s="8">
        <f>IF(A70="","",TEXT(A70,"dddd"))</f>
        <v/>
      </c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55" customHeight="1">
      <c r="A71" s="7" t="n"/>
      <c r="B71" s="8">
        <f>IF(A71="","",TEXT(A71,"dddd"))</f>
        <v/>
      </c>
      <c r="C71" s="8" t="n"/>
      <c r="D71" s="8" t="n"/>
      <c r="E71" s="8" t="n"/>
      <c r="F71" s="8" t="n"/>
      <c r="G71" s="8" t="n"/>
      <c r="H71" s="8" t="n"/>
      <c r="I71" s="8" t="n"/>
      <c r="J71" s="8" t="n"/>
    </row>
    <row r="72" ht="55" customHeight="1">
      <c r="A72" s="7" t="n"/>
      <c r="B72" s="8">
        <f>IF(A72="","",TEXT(A72,"dddd"))</f>
        <v/>
      </c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55" customHeight="1">
      <c r="A73" s="7" t="n"/>
      <c r="B73" s="8">
        <f>IF(A73="","",TEXT(A73,"dddd"))</f>
        <v/>
      </c>
      <c r="C73" s="8" t="n"/>
      <c r="D73" s="8" t="n"/>
      <c r="E73" s="8" t="n"/>
      <c r="F73" s="8" t="n"/>
      <c r="G73" s="8" t="n"/>
      <c r="H73" s="8" t="n"/>
      <c r="I73" s="8" t="n"/>
      <c r="J73" s="8" t="n"/>
    </row>
    <row r="74" ht="55" customHeight="1">
      <c r="A74" s="7" t="n"/>
      <c r="B74" s="8">
        <f>IF(A74="","",TEXT(A74,"dddd"))</f>
        <v/>
      </c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55" customHeight="1">
      <c r="A75" s="7" t="n"/>
      <c r="B75" s="8">
        <f>IF(A75="","",TEXT(A75,"dddd"))</f>
        <v/>
      </c>
      <c r="C75" s="8" t="n"/>
      <c r="D75" s="8" t="n"/>
      <c r="E75" s="8" t="n"/>
      <c r="F75" s="8" t="n"/>
      <c r="G75" s="8" t="n"/>
      <c r="H75" s="8" t="n"/>
      <c r="I75" s="8" t="n"/>
      <c r="J75" s="8" t="n"/>
    </row>
    <row r="76" ht="55" customHeight="1">
      <c r="A76" s="7" t="n"/>
      <c r="B76" s="8">
        <f>IF(A76="","",TEXT(A76,"dddd"))</f>
        <v/>
      </c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55" customHeight="1">
      <c r="A77" s="7" t="n"/>
      <c r="B77" s="8">
        <f>IF(A77="","",TEXT(A77,"dddd"))</f>
        <v/>
      </c>
      <c r="C77" s="8" t="n"/>
      <c r="D77" s="8" t="n"/>
      <c r="E77" s="8" t="n"/>
      <c r="F77" s="8" t="n"/>
      <c r="G77" s="8" t="n"/>
      <c r="H77" s="8" t="n"/>
      <c r="I77" s="8" t="n"/>
      <c r="J77" s="8" t="n"/>
    </row>
    <row r="78" ht="55" customHeight="1">
      <c r="A78" s="7" t="n"/>
      <c r="B78" s="8">
        <f>IF(A78="","",TEXT(A78,"dddd"))</f>
        <v/>
      </c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55" customHeight="1">
      <c r="A79" s="7" t="n"/>
      <c r="B79" s="8">
        <f>IF(A79="","",TEXT(A79,"dddd"))</f>
        <v/>
      </c>
      <c r="C79" s="8" t="n"/>
      <c r="D79" s="8" t="n"/>
      <c r="E79" s="8" t="n"/>
      <c r="F79" s="8" t="n"/>
      <c r="G79" s="8" t="n"/>
      <c r="H79" s="8" t="n"/>
      <c r="I79" s="8" t="n"/>
      <c r="J79" s="8" t="n"/>
    </row>
    <row r="80" ht="55" customHeight="1">
      <c r="A80" s="7" t="n"/>
      <c r="B80" s="8">
        <f>IF(A80="","",TEXT(A80,"dddd"))</f>
        <v/>
      </c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55" customHeight="1">
      <c r="A81" s="7" t="n"/>
      <c r="B81" s="8">
        <f>IF(A81="","",TEXT(A81,"dddd"))</f>
        <v/>
      </c>
      <c r="C81" s="8" t="n"/>
      <c r="D81" s="8" t="n"/>
      <c r="E81" s="8" t="n"/>
      <c r="F81" s="8" t="n"/>
      <c r="G81" s="8" t="n"/>
      <c r="H81" s="8" t="n"/>
      <c r="I81" s="8" t="n"/>
      <c r="J81" s="8" t="n"/>
    </row>
    <row r="82" ht="55" customHeight="1">
      <c r="A82" s="7" t="n"/>
      <c r="B82" s="8">
        <f>IF(A82="","",TEXT(A82,"dddd"))</f>
        <v/>
      </c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55" customHeight="1">
      <c r="A83" s="7" t="n"/>
      <c r="B83" s="8">
        <f>IF(A83="","",TEXT(A83,"dddd"))</f>
        <v/>
      </c>
      <c r="C83" s="8" t="n"/>
      <c r="D83" s="8" t="n"/>
      <c r="E83" s="8" t="n"/>
      <c r="F83" s="8" t="n"/>
      <c r="G83" s="8" t="n"/>
      <c r="H83" s="8" t="n"/>
      <c r="I83" s="8" t="n"/>
      <c r="J83" s="8" t="n"/>
    </row>
    <row r="84" ht="55" customHeight="1">
      <c r="A84" s="7" t="n"/>
      <c r="B84" s="8">
        <f>IF(A84="","",TEXT(A84,"dddd"))</f>
        <v/>
      </c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55" customHeight="1">
      <c r="A85" s="7" t="n"/>
      <c r="B85" s="8">
        <f>IF(A85="","",TEXT(A85,"dddd"))</f>
        <v/>
      </c>
      <c r="C85" s="8" t="n"/>
      <c r="D85" s="8" t="n"/>
      <c r="E85" s="8" t="n"/>
      <c r="F85" s="8" t="n"/>
      <c r="G85" s="8" t="n"/>
      <c r="H85" s="8" t="n"/>
      <c r="I85" s="8" t="n"/>
      <c r="J85" s="8" t="n"/>
    </row>
    <row r="86" ht="55" customHeight="1">
      <c r="A86" s="7" t="n"/>
      <c r="B86" s="8">
        <f>IF(A86="","",TEXT(A86,"dddd"))</f>
        <v/>
      </c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55" customHeight="1">
      <c r="A87" s="7" t="n"/>
      <c r="B87" s="8">
        <f>IF(A87="","",TEXT(A87,"dddd"))</f>
        <v/>
      </c>
      <c r="C87" s="8" t="n"/>
      <c r="D87" s="8" t="n"/>
      <c r="E87" s="8" t="n"/>
      <c r="F87" s="8" t="n"/>
      <c r="G87" s="8" t="n"/>
      <c r="H87" s="8" t="n"/>
      <c r="I87" s="8" t="n"/>
      <c r="J87" s="8" t="n"/>
    </row>
    <row r="88" ht="55" customHeight="1">
      <c r="A88" s="7" t="n"/>
      <c r="B88" s="8">
        <f>IF(A88="","",TEXT(A88,"dddd"))</f>
        <v/>
      </c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55" customHeight="1">
      <c r="A89" s="7" t="n"/>
      <c r="B89" s="8">
        <f>IF(A89="","",TEXT(A89,"dddd"))</f>
        <v/>
      </c>
      <c r="C89" s="8" t="n"/>
      <c r="D89" s="8" t="n"/>
      <c r="E89" s="8" t="n"/>
      <c r="F89" s="8" t="n"/>
      <c r="G89" s="8" t="n"/>
      <c r="H89" s="8" t="n"/>
      <c r="I89" s="8" t="n"/>
      <c r="J89" s="8" t="n"/>
    </row>
    <row r="90" ht="55" customHeight="1">
      <c r="A90" s="7" t="n"/>
      <c r="B90" s="8">
        <f>IF(A90="","",TEXT(A90,"dddd"))</f>
        <v/>
      </c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55" customHeight="1">
      <c r="A91" s="7" t="n"/>
      <c r="B91" s="8">
        <f>IF(A91="","",TEXT(A91,"dddd"))</f>
        <v/>
      </c>
      <c r="C91" s="8" t="n"/>
      <c r="D91" s="8" t="n"/>
      <c r="E91" s="8" t="n"/>
      <c r="F91" s="8" t="n"/>
      <c r="G91" s="8" t="n"/>
      <c r="H91" s="8" t="n"/>
      <c r="I91" s="8" t="n"/>
      <c r="J91" s="8" t="n"/>
    </row>
    <row r="92" ht="55" customHeight="1">
      <c r="A92" s="7" t="n"/>
      <c r="B92" s="8">
        <f>IF(A92="","",TEXT(A92,"dddd"))</f>
        <v/>
      </c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55" customHeight="1">
      <c r="A93" s="7" t="n"/>
      <c r="B93" s="8">
        <f>IF(A93="","",TEXT(A93,"dddd"))</f>
        <v/>
      </c>
      <c r="C93" s="8" t="n"/>
      <c r="D93" s="8" t="n"/>
      <c r="E93" s="8" t="n"/>
      <c r="F93" s="8" t="n"/>
      <c r="G93" s="8" t="n"/>
      <c r="H93" s="8" t="n"/>
      <c r="I93" s="8" t="n"/>
      <c r="J93" s="8" t="n"/>
    </row>
    <row r="94" ht="55" customHeight="1">
      <c r="A94" s="7" t="n"/>
      <c r="B94" s="8">
        <f>IF(A94="","",TEXT(A94,"dddd"))</f>
        <v/>
      </c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55" customHeight="1">
      <c r="A95" s="7" t="n"/>
      <c r="B95" s="8">
        <f>IF(A95="","",TEXT(A95,"dddd"))</f>
        <v/>
      </c>
      <c r="C95" s="8" t="n"/>
      <c r="D95" s="8" t="n"/>
      <c r="E95" s="8" t="n"/>
      <c r="F95" s="8" t="n"/>
      <c r="G95" s="8" t="n"/>
      <c r="H95" s="8" t="n"/>
      <c r="I95" s="8" t="n"/>
      <c r="J95" s="8" t="n"/>
    </row>
    <row r="96" ht="55" customHeight="1">
      <c r="A96" s="7" t="n"/>
      <c r="B96" s="8">
        <f>IF(A96="","",TEXT(A96,"dddd"))</f>
        <v/>
      </c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55" customHeight="1">
      <c r="A97" s="7" t="n"/>
      <c r="B97" s="8">
        <f>IF(A97="","",TEXT(A97,"dddd"))</f>
        <v/>
      </c>
      <c r="C97" s="8" t="n"/>
      <c r="D97" s="8" t="n"/>
      <c r="E97" s="8" t="n"/>
      <c r="F97" s="8" t="n"/>
      <c r="G97" s="8" t="n"/>
      <c r="H97" s="8" t="n"/>
      <c r="I97" s="8" t="n"/>
      <c r="J97" s="8" t="n"/>
    </row>
    <row r="98" ht="55" customHeight="1">
      <c r="A98" s="7" t="n"/>
      <c r="B98" s="8">
        <f>IF(A98="","",TEXT(A98,"dddd"))</f>
        <v/>
      </c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55" customHeight="1">
      <c r="A99" s="7" t="n"/>
      <c r="B99" s="8">
        <f>IF(A99="","",TEXT(A99,"dddd"))</f>
        <v/>
      </c>
      <c r="C99" s="8" t="n"/>
      <c r="D99" s="8" t="n"/>
      <c r="E99" s="8" t="n"/>
      <c r="F99" s="8" t="n"/>
      <c r="G99" s="8" t="n"/>
      <c r="H99" s="8" t="n"/>
      <c r="I99" s="8" t="n"/>
      <c r="J99" s="8" t="n"/>
    </row>
    <row r="100" ht="55" customHeight="1">
      <c r="A100" s="7" t="n"/>
      <c r="B100" s="8">
        <f>IF(A100="","",TEXT(A100,"dddd"))</f>
        <v/>
      </c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55" customHeight="1">
      <c r="A101" s="7" t="n"/>
      <c r="B101" s="8">
        <f>IF(A101="","",TEXT(A101,"dddd"))</f>
        <v/>
      </c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55" customHeight="1">
      <c r="A102" s="7" t="n"/>
      <c r="B102" s="8">
        <f>IF(A102="","",TEXT(A102,"dddd"))</f>
        <v/>
      </c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55" customHeight="1">
      <c r="A103" s="7" t="n"/>
      <c r="B103" s="8">
        <f>IF(A103="","",TEXT(A103,"dddd"))</f>
        <v/>
      </c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 ht="55" customHeight="1">
      <c r="A104" s="7" t="n"/>
      <c r="B104" s="8">
        <f>IF(A104="","",TEXT(A104,"dddd"))</f>
        <v/>
      </c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55" customHeight="1">
      <c r="A105" s="7" t="n"/>
      <c r="B105" s="8">
        <f>IF(A105="","",TEXT(A105,"dddd"))</f>
        <v/>
      </c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 ht="55" customHeight="1">
      <c r="A106" s="7" t="n"/>
      <c r="B106" s="8">
        <f>IF(A106="","",TEXT(A106,"dddd"))</f>
        <v/>
      </c>
      <c r="C106" s="8" t="n"/>
      <c r="D106" s="8" t="n"/>
      <c r="E106" s="8" t="n"/>
      <c r="F106" s="8" t="n"/>
      <c r="G106" s="8" t="n"/>
      <c r="H106" s="8" t="n"/>
      <c r="I106" s="8" t="n"/>
      <c r="J106" s="8" t="n"/>
    </row>
  </sheetData>
  <autoFilter ref="A6:J106"/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dataValidations count="4">
    <dataValidation sqref="D7:D106" showDropDown="0" showInputMessage="0" showErrorMessage="0" allowBlank="1" type="list">
      <formula1>"general,announcements,gymcrew-chat,crew-chat,workout-talk,pr-challenge,leaderboard,feedback,off-topic"</formula1>
    </dataValidation>
    <dataValidation sqref="E7:E106" showDropDown="0" showInputMessage="0" showErrorMessage="0" allowBlank="1" type="list">
      <formula1>"Daily Challenge,Community Prompt,Announcement,Progress/PR,Leaderboard,Poll,Question,Product Update,Welcome,Reminder"</formula1>
    </dataValidation>
    <dataValidation sqref="H7:H106" showDropDown="0" showInputMessage="0" showErrorMessage="0" allowBlank="1" type="list">
      <formula1>"Jaimy,Berkan,Both"</formula1>
    </dataValidation>
    <dataValidation sqref="I7:I106" showDropDown="0" showInputMessage="0" showErrorMessage="0" allowBlank="1" type="list">
      <formula1>"Idea,Planned,Ready,Posted,Skipped"</formula1>
    </dataValidation>
  </dataValidations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2026-08-31T18:43:07Z</dcterms:created>
  <dcterms:modified xmlns:dcterms="http://purl.org/dc/terms/" xmlns:xsi="http://www.w3.org/2001/XMLSchema-instance" xsi:type="dcterms:W3CDTF">2026-08-31T18:47:59Z</dcterms:modified>
</cp:coreProperties>
</file>